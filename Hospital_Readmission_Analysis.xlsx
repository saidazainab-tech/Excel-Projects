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over" sheetId="1" state="visible" r:id="rId3"/>
    <sheet name="Q1 - Age &amp; Readmission" sheetId="2" state="visible" r:id="rId4"/>
    <sheet name="Q2 - Specialty &amp; Stay" sheetId="3" state="visible" r:id="rId5"/>
    <sheet name="Q3 - Emergency &amp; Readmission" sheetId="4" state="visible" r:id="rId6"/>
    <sheet name="Q4 - Diabetes &amp; Readmission" sheetId="5" state="visible" r:id="rId7"/>
    <sheet name="Q5 - Medication Change" sheetId="6" state="visible" r:id="rId8"/>
    <sheet name="Q6 - Lab Procedures" sheetId="7" state="visible" r:id="rId9"/>
    <sheet name="Q7 - Race &amp; Gender" sheetId="8" state="visible" r:id="rId10"/>
    <sheet name="Q8 - Weight Analysis" sheetId="9" state="visible" r:id="rId11"/>
    <sheet name="Q9 - Medications &amp; Stay" sheetId="10" state="visible" r:id="rId12"/>
    <sheet name="Q10 - Outpatient Visits" sheetId="11" state="visible" r:id="rId13"/>
    <sheet name="MQ1 - Comorbidity Analysis" sheetId="12" state="visible" r:id="rId14"/>
    <sheet name="MQ2 - Demographics &amp; Care" sheetId="13" state="visible" r:id="rId15"/>
    <sheet name="MQ3 - Diagnosis &amp; Visits" sheetId="14" state="visible" r:id="rId16"/>
    <sheet name="MQ4 - Specialty Prescribing" sheetId="15" state="visible" r:id="rId17"/>
    <sheet name="MQ5 - Gender &amp; Age" sheetId="16" state="visible" r:id="rId18"/>
    <sheet name="AQ1 - Predictive Model" sheetId="17" state="visible" r:id="rId19"/>
    <sheet name="AQ2 - Patient Segmentation" sheetId="18" state="visible" r:id="rId20"/>
    <sheet name="AQ3 - Social Determinant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<sst xmlns="http://schemas.openxmlformats.org/spreadsheetml/2006/main" count="405" uniqueCount="274">
  <si>
    <t xml:space="preserve">Hospital Readmission Analysis</t>
  </si>
  <si>
    <t xml:space="preserve">Novartis — Data Analytics Case Study</t>
  </si>
  <si>
    <t xml:space="preserve">BASIC QUESTIONS (Q1–Q10)</t>
  </si>
  <si>
    <t xml:space="preserve">Q1 - Age &amp; Readmission</t>
  </si>
  <si>
    <t xml:space="preserve">Distribution of readmission rates across age groups</t>
  </si>
  <si>
    <t xml:space="preserve">Q2 - Specialty &amp; Stay</t>
  </si>
  <si>
    <t xml:space="preserve">Average length of stay by medical specialty</t>
  </si>
  <si>
    <t xml:space="preserve">Q3 - Emergency &amp; Readmission</t>
  </si>
  <si>
    <t xml:space="preserve">Emergency visits vs readmission rates</t>
  </si>
  <si>
    <t xml:space="preserve">Q4 - Diabetes &amp; Readmission</t>
  </si>
  <si>
    <t xml:space="preserve">Proportion of diabetic patients readmitted</t>
  </si>
  <si>
    <t xml:space="preserve">Q5 - Medication Change</t>
  </si>
  <si>
    <t xml:space="preserve">Impact of diabetic med change on readmission</t>
  </si>
  <si>
    <t xml:space="preserve">Q6 - Lab Procedures</t>
  </si>
  <si>
    <t xml:space="preserve">Lab procedures vs readmission rates</t>
  </si>
  <si>
    <t xml:space="preserve">Q7 - Race &amp; Gender</t>
  </si>
  <si>
    <t xml:space="preserve">Readmission rates by race and gender</t>
  </si>
  <si>
    <t xml:space="preserve">Q8 - Weight Analysis</t>
  </si>
  <si>
    <t xml:space="preserve">Weight categories and readmission rates</t>
  </si>
  <si>
    <t xml:space="preserve">Q9 - Medications &amp; Stay</t>
  </si>
  <si>
    <t xml:space="preserve">Number of medications vs length of stay</t>
  </si>
  <si>
    <t xml:space="preserve">Q10 - Outpatient Visits</t>
  </si>
  <si>
    <t xml:space="preserve">Outpatient visits vs readmission rates</t>
  </si>
  <si>
    <t xml:space="preserve">MEDIUM QUESTIONS (MQ1–MQ5)</t>
  </si>
  <si>
    <t xml:space="preserve">MQ1 - Comorbidity Analysis</t>
  </si>
  <si>
    <t xml:space="preserve">Multiple diagnoses vs stay &amp; readmission</t>
  </si>
  <si>
    <t xml:space="preserve">MQ2 - Demographics &amp; Care</t>
  </si>
  <si>
    <t xml:space="preserve">Race/demographics vs interventions received</t>
  </si>
  <si>
    <t xml:space="preserve">MQ3 - Diagnosis &amp; Visits</t>
  </si>
  <si>
    <t xml:space="preserve">Primary diagnosis vs visit patterns</t>
  </si>
  <si>
    <t xml:space="preserve">MQ4 - Specialty Prescribing</t>
  </si>
  <si>
    <t xml:space="preserve">Medication patterns by medical specialty</t>
  </si>
  <si>
    <t xml:space="preserve">MQ5 - Gender &amp; Age</t>
  </si>
  <si>
    <t xml:space="preserve">Gender + age combined readmission analysis</t>
  </si>
  <si>
    <t xml:space="preserve">ADVANCED QUESTIONS (AQ1–AQ3)</t>
  </si>
  <si>
    <t xml:space="preserve">AQ1 - Predictive Model</t>
  </si>
  <si>
    <t xml:space="preserve">Logistic regression risk factors for readmission</t>
  </si>
  <si>
    <t xml:space="preserve">AQ2 - Patient Segmentation</t>
  </si>
  <si>
    <t xml:space="preserve">K-Means clustering of patient groups</t>
  </si>
  <si>
    <t xml:space="preserve">AQ3 - Social Determinants</t>
  </si>
  <si>
    <t xml:space="preserve">Race &amp; equity analysis of readmission rates</t>
  </si>
  <si>
    <t xml:space="preserve">Q1: Readmission Rates by Age Group</t>
  </si>
  <si>
    <t xml:space="preserve">Do older patients get readmitted more?</t>
  </si>
  <si>
    <t xml:space="preserve">age</t>
  </si>
  <si>
    <t xml:space="preserve">Total</t>
  </si>
  <si>
    <t xml:space="preserve">Readmitted</t>
  </si>
  <si>
    <t xml:space="preserve">Not_Readmitted</t>
  </si>
  <si>
    <t xml:space="preserve">Readmission_Rate_%</t>
  </si>
  <si>
    <t xml:space="preserve">[0-10)</t>
  </si>
  <si>
    <t xml:space="preserve">[10-20)</t>
  </si>
  <si>
    <t xml:space="preserve">[20-30)</t>
  </si>
  <si>
    <t xml:space="preserve">[30-40)</t>
  </si>
  <si>
    <t xml:space="preserve">[40-50)</t>
  </si>
  <si>
    <t xml:space="preserve">[50-60)</t>
  </si>
  <si>
    <t xml:space="preserve">[60-70)</t>
  </si>
  <si>
    <t xml:space="preserve">[70-80)</t>
  </si>
  <si>
    <t xml:space="preserve">[80-90)</t>
  </si>
  <si>
    <t xml:space="preserve">[90-100)</t>
  </si>
  <si>
    <t xml:space="preserve">✅ KEY FINDING: Patients aged 70-90 have the HIGHEST readmission rates (~48%). Youngest patients [0-10) have the lowest at 22%. Readmission risk INCREASES with age.</t>
  </si>
  <si>
    <t xml:space="preserve">💡 RECOMMENDATION: Increase post-discharge follow-up care for patients aged 70 and above.</t>
  </si>
  <si>
    <t xml:space="preserve">Q2: Average Length of Stay by Medical Specialty</t>
  </si>
  <si>
    <t xml:space="preserve">Which specialties keep patients longest?</t>
  </si>
  <si>
    <t xml:space="preserve">Medical_Specialty</t>
  </si>
  <si>
    <t xml:space="preserve">Avg_Stay_Days</t>
  </si>
  <si>
    <t xml:space="preserve">Pediatrics-Pulmonology</t>
  </si>
  <si>
    <t xml:space="preserve">PhysicalMedicineandRehabilitation</t>
  </si>
  <si>
    <t xml:space="preserve">OutreachServices</t>
  </si>
  <si>
    <t xml:space="preserve">Pathology</t>
  </si>
  <si>
    <t xml:space="preserve">Psychiatry-Addictive</t>
  </si>
  <si>
    <t xml:space="preserve">Rheumatology</t>
  </si>
  <si>
    <t xml:space="preserve">Psychiatry-Child/Adolescent</t>
  </si>
  <si>
    <t xml:space="preserve">Proctology</t>
  </si>
  <si>
    <t xml:space="preserve">Psychiatry</t>
  </si>
  <si>
    <t xml:space="preserve">Psychology</t>
  </si>
  <si>
    <t xml:space="preserve">Surgery-Cardiovascular/Thoracic</t>
  </si>
  <si>
    <t xml:space="preserve">Surgery-Thoracic</t>
  </si>
  <si>
    <t xml:space="preserve">Surgery-Pediatric</t>
  </si>
  <si>
    <t xml:space="preserve">Obsterics&amp;Gynecology-GynecologicOnco</t>
  </si>
  <si>
    <t xml:space="preserve">Surgery-Colon&amp;Rectal</t>
  </si>
  <si>
    <t xml:space="preserve">Pulmonology</t>
  </si>
  <si>
    <t xml:space="preserve">Oncology</t>
  </si>
  <si>
    <t xml:space="preserve">Surgery-Cardiovascular</t>
  </si>
  <si>
    <t xml:space="preserve">Hospitalist</t>
  </si>
  <si>
    <t xml:space="preserve">Pediatrics-Neurology</t>
  </si>
  <si>
    <t xml:space="preserve">✅ KEY FINDING: Specialties with longest stays often involve complex surgeries or critical care. Shortest stays indicate outpatient-style or routine visits.</t>
  </si>
  <si>
    <t xml:space="preserve">💡 RECOMMENDATION: Review capacity planning for specialties with consistently long stays.</t>
  </si>
  <si>
    <t xml:space="preserve">Q3: Emergency Visits vs Readmission Rates</t>
  </si>
  <si>
    <t xml:space="preserve">Do more ER visits mean higher readmission?</t>
  </si>
  <si>
    <t xml:space="preserve">Correlation Coefficient: 0.1078  |  Interpretation: Weak positive relationship</t>
  </si>
  <si>
    <t xml:space="preserve">Emergency_Visits_Prev_Year</t>
  </si>
  <si>
    <t xml:space="preserve">0</t>
  </si>
  <si>
    <t xml:space="preserve">1</t>
  </si>
  <si>
    <t xml:space="preserve">2</t>
  </si>
  <si>
    <t xml:space="preserve">3-5</t>
  </si>
  <si>
    <t xml:space="preserve">6+</t>
  </si>
  <si>
    <t xml:space="preserve">✅ KEY FINDING: Correlation = 0.1078 (weak positive). Patients with more prior ER visits tend to have slightly higher readmission rates.</t>
  </si>
  <si>
    <t xml:space="preserve">💡 RECOMMENDATION: Target patients with 3+ emergency visits for intensive care management programs.</t>
  </si>
  <si>
    <t xml:space="preserve">Q4: Diabetic Patients vs Readmission Rates</t>
  </si>
  <si>
    <t xml:space="preserve">Are diabetic patients readmitted more?</t>
  </si>
  <si>
    <t xml:space="preserve">Group</t>
  </si>
  <si>
    <t xml:space="preserve">Diabetic Patients</t>
  </si>
  <si>
    <t xml:space="preserve">Non-Diabetic Patients</t>
  </si>
  <si>
    <t xml:space="preserve">All Patients</t>
  </si>
  <si>
    <t xml:space="preserve">✅ KEY FINDING: Diabetic patients (on diabetes medication) have a noticeably higher readmission rate than non-diabetic patients.</t>
  </si>
  <si>
    <t xml:space="preserve">💡 RECOMMENDATION: Strengthen diabetes management programs and post-discharge education for diabetic patients.</t>
  </si>
  <si>
    <t xml:space="preserve">Q5: Medication Change vs Readmission Rates</t>
  </si>
  <si>
    <t xml:space="preserve">Does changing diabetic medication affect readmission?</t>
  </si>
  <si>
    <t xml:space="preserve">Medication_Change</t>
  </si>
  <si>
    <t xml:space="preserve">Total_Patients</t>
  </si>
  <si>
    <t xml:space="preserve">Ch</t>
  </si>
  <si>
    <t xml:space="preserve">No</t>
  </si>
  <si>
    <t xml:space="preserve">✅ KEY FINDING: Patients whose diabetic medication was changed show a different readmission rate compared to those with no change.</t>
  </si>
  <si>
    <t xml:space="preserve">💡 RECOMMENDATION: Review medication adjustment protocols — sudden changes may destabilize patients and lead to readmission.</t>
  </si>
  <si>
    <t xml:space="preserve">Q6: Lab Procedures vs Readmission Rates</t>
  </si>
  <si>
    <t xml:space="preserve">Do more lab tests mean more/fewer readmissions?</t>
  </si>
  <si>
    <t xml:space="preserve">Correlation: 0.0357  |  Weak positive — more lab tests slightly associated with readmission</t>
  </si>
  <si>
    <t xml:space="preserve">Lab_Procedures_Range</t>
  </si>
  <si>
    <t xml:space="preserve">0-20</t>
  </si>
  <si>
    <t xml:space="preserve">21-40</t>
  </si>
  <si>
    <t xml:space="preserve">41-60</t>
  </si>
  <si>
    <t xml:space="preserve">61-80</t>
  </si>
  <si>
    <t xml:space="preserve">81+</t>
  </si>
  <si>
    <t xml:space="preserve">✅ KEY FINDING: Correlation = 0.0357. Patients with more lab procedures may be sicker, explaining slightly higher readmission rates.</t>
  </si>
  <si>
    <t xml:space="preserve">💡 RECOMMENDATION: High lab procedure counts can serve as a flag for high-risk patients needing closer monitoring.</t>
  </si>
  <si>
    <t xml:space="preserve">Q7: Readmission Rates by Race and Gender</t>
  </si>
  <si>
    <t xml:space="preserve">Are there disparities across demographics?</t>
  </si>
  <si>
    <t xml:space="preserve">race</t>
  </si>
  <si>
    <t xml:space="preserve">gender</t>
  </si>
  <si>
    <t xml:space="preserve">?</t>
  </si>
  <si>
    <t xml:space="preserve">Female</t>
  </si>
  <si>
    <t xml:space="preserve">Male</t>
  </si>
  <si>
    <t xml:space="preserve">Unknown/Invalid</t>
  </si>
  <si>
    <t xml:space="preserve">AfricanAmerican</t>
  </si>
  <si>
    <t xml:space="preserve">Asian</t>
  </si>
  <si>
    <t xml:space="preserve">Caucasian</t>
  </si>
  <si>
    <t xml:space="preserve">Hispanic</t>
  </si>
  <si>
    <t xml:space="preserve">Other</t>
  </si>
  <si>
    <t xml:space="preserve">✅ KEY FINDING: Readmission rates vary across racial groups and genders. Some groups show notably higher rates indicating potential care disparities.</t>
  </si>
  <si>
    <t xml:space="preserve">💡 RECOMMENDATION: Investigate if minority groups receive equitable post-discharge support. Design targeted outreach programs.</t>
  </si>
  <si>
    <t xml:space="preserve">Q8: Weight Categories &amp; Readmission Rates</t>
  </si>
  <si>
    <t xml:space="preserve">Does patient weight affect readmission?</t>
  </si>
  <si>
    <t xml:space="preserve">⚠ Data Completeness Check</t>
  </si>
  <si>
    <t xml:space="preserve">Count</t>
  </si>
  <si>
    <t xml:space="preserve">Percentage_%</t>
  </si>
  <si>
    <t xml:space="preserve">Weight Data Available</t>
  </si>
  <si>
    <t xml:space="preserve">Weight Data Missing (?)</t>
  </si>
  <si>
    <t xml:space="preserve">Weight_Category</t>
  </si>
  <si>
    <t xml:space="preserve">&gt;200</t>
  </si>
  <si>
    <t xml:space="preserve">[0-25)</t>
  </si>
  <si>
    <t xml:space="preserve">[100-125)</t>
  </si>
  <si>
    <t xml:space="preserve">[125-150)</t>
  </si>
  <si>
    <t xml:space="preserve">[150-175)</t>
  </si>
  <si>
    <t xml:space="preserve">[175-200)</t>
  </si>
  <si>
    <t xml:space="preserve">[25-50)</t>
  </si>
  <si>
    <t xml:space="preserve">[50-75)</t>
  </si>
  <si>
    <t xml:space="preserve">[75-100)</t>
  </si>
  <si>
    <t xml:space="preserve">✅ KEY FINDING: Weight data is mostly missing (~96.8% missing). Analysis is limited to available records. Results should be interpreted with caution.</t>
  </si>
  <si>
    <t xml:space="preserve">💡 RECOMMENDATION: Improve weight data collection at admission to enable proper future analysis.</t>
  </si>
  <si>
    <t xml:space="preserve">Q9: Number of Medications vs Length of Stay</t>
  </si>
  <si>
    <t xml:space="preserve">More medications = longer hospital stay?</t>
  </si>
  <si>
    <t xml:space="preserve">Correlation: 0.466  |  Moderate positive — more medications strongly linked to longer stays</t>
  </si>
  <si>
    <t xml:space="preserve">Medication_Range</t>
  </si>
  <si>
    <t xml:space="preserve">Avg_Hospital_Stay_Days</t>
  </si>
  <si>
    <t xml:space="preserve">Patient_Count</t>
  </si>
  <si>
    <t xml:space="preserve">0-10</t>
  </si>
  <si>
    <t xml:space="preserve">11-20</t>
  </si>
  <si>
    <t xml:space="preserve">21-30</t>
  </si>
  <si>
    <t xml:space="preserve">31-40</t>
  </si>
  <si>
    <t xml:space="preserve">41+</t>
  </si>
  <si>
    <t xml:space="preserve">✅ KEY FINDING: Correlation = 0.466 (moderate positive). Patients on more medications stay significantly longer in hospital.</t>
  </si>
  <si>
    <t xml:space="preserve">💡 RECOMMENDATION: Review polypharmacy cases — patients with 20+ medications are high-risk for longer stays and readmissions.</t>
  </si>
  <si>
    <t xml:space="preserve">Q10: Outpatient Visits vs Readmission Rates</t>
  </si>
  <si>
    <t xml:space="preserve">Does more outpatient care reduce readmissions?</t>
  </si>
  <si>
    <t xml:space="preserve">Correlation: 0.0816  |  Weak positive</t>
  </si>
  <si>
    <t xml:space="preserve">Outpatient_Visits</t>
  </si>
  <si>
    <t xml:space="preserve">1-2</t>
  </si>
  <si>
    <t xml:space="preserve">6-10</t>
  </si>
  <si>
    <t xml:space="preserve">10+</t>
  </si>
  <si>
    <t xml:space="preserve">✅ KEY FINDING: Correlation = 0.0816. Patients with many outpatient visits may have chronic conditions driving both outpatient use and readmission.</t>
  </si>
  <si>
    <t xml:space="preserve">💡 RECOMMENDATION: Strengthen outpatient follow-up care post-discharge, especially for chronically ill patients.</t>
  </si>
  <si>
    <t xml:space="preserve">MQ1: Comorbidity (Multiple Diagnoses) vs Stay &amp; Readmission</t>
  </si>
  <si>
    <t xml:space="preserve">More conditions = worse outcomes?</t>
  </si>
  <si>
    <t xml:space="preserve">number_diagnoses</t>
  </si>
  <si>
    <t xml:space="preserve">Avg_Stay</t>
  </si>
  <si>
    <t xml:space="preserve">✅ KEY FINDING: As number of diagnoses increases, both average stay and readmission rate tend to increase — confirming comorbidity is a key driver of poor outcomes.</t>
  </si>
  <si>
    <t xml:space="preserve">💡 RECOMMENDATION: Patients with 7+ diagnoses should receive a dedicated care coordination team and structured discharge planning.</t>
  </si>
  <si>
    <t xml:space="preserve">MQ2: Race vs Medical Interventions Received</t>
  </si>
  <si>
    <t xml:space="preserve">Are all racial groups receiving equal care?</t>
  </si>
  <si>
    <t xml:space="preserve">Avg_Lab</t>
  </si>
  <si>
    <t xml:space="preserve">Avg_Meds</t>
  </si>
  <si>
    <t xml:space="preserve">Avg_Procedures</t>
  </si>
  <si>
    <t xml:space="preserve">✅ KEY FINDING: There are differences in average lab procedures and medications across racial groups, suggesting potential disparities in care received.</t>
  </si>
  <si>
    <t xml:space="preserve">💡 RECOMMENDATION: Conduct equity audits to ensure treatment decisions are based on clinical need, not demographic factors.</t>
  </si>
  <si>
    <t xml:space="preserve">MQ3: Primary Diagnosis vs Visit Patterns</t>
  </si>
  <si>
    <t xml:space="preserve">Which diagnoses drive the most hospital use?</t>
  </si>
  <si>
    <t xml:space="preserve">diag_1</t>
  </si>
  <si>
    <t xml:space="preserve">Avg_Inpatient</t>
  </si>
  <si>
    <t xml:space="preserve">Avg_Outpatient</t>
  </si>
  <si>
    <t xml:space="preserve">Avg_Emergency</t>
  </si>
  <si>
    <t xml:space="preserve">428</t>
  </si>
  <si>
    <t xml:space="preserve">414</t>
  </si>
  <si>
    <t xml:space="preserve">786</t>
  </si>
  <si>
    <t xml:space="preserve">410</t>
  </si>
  <si>
    <t xml:space="preserve">486</t>
  </si>
  <si>
    <t xml:space="preserve">427</t>
  </si>
  <si>
    <t xml:space="preserve">491</t>
  </si>
  <si>
    <t xml:space="preserve">715</t>
  </si>
  <si>
    <t xml:space="preserve">682</t>
  </si>
  <si>
    <t xml:space="preserve">780</t>
  </si>
  <si>
    <t xml:space="preserve">434</t>
  </si>
  <si>
    <t xml:space="preserve">996</t>
  </si>
  <si>
    <t xml:space="preserve">276</t>
  </si>
  <si>
    <t xml:space="preserve">38</t>
  </si>
  <si>
    <t xml:space="preserve">250.8</t>
  </si>
  <si>
    <t xml:space="preserve">584</t>
  </si>
  <si>
    <t xml:space="preserve">599</t>
  </si>
  <si>
    <t xml:space="preserve">V57</t>
  </si>
  <si>
    <t xml:space="preserve">820</t>
  </si>
  <si>
    <t xml:space="preserve">250.6</t>
  </si>
  <si>
    <t xml:space="preserve">✅ KEY FINDING: Certain diagnosis codes consistently show higher inpatient, outpatient, and emergency visit rates — indicating chronic high-burden conditions.</t>
  </si>
  <si>
    <t xml:space="preserve">💡 RECOMMENDATION: Focus preventive care resources on the top 5 diagnosis codes driving repeat hospital utilization.</t>
  </si>
  <si>
    <t xml:space="preserve">MQ4: Medication Patterns by Medical Specialty</t>
  </si>
  <si>
    <t xml:space="preserve">Which specialties prescribe the most?</t>
  </si>
  <si>
    <t xml:space="preserve">Avg_Medications</t>
  </si>
  <si>
    <t xml:space="preserve">Cardiology</t>
  </si>
  <si>
    <t xml:space="preserve">Emergency/Trauma</t>
  </si>
  <si>
    <t xml:space="preserve">Family/GeneralPractice</t>
  </si>
  <si>
    <t xml:space="preserve">InternalMedicine</t>
  </si>
  <si>
    <t xml:space="preserve">Nephrology</t>
  </si>
  <si>
    <t xml:space="preserve">Orthopedics</t>
  </si>
  <si>
    <t xml:space="preserve">Orthopedics-Reconstructive</t>
  </si>
  <si>
    <t xml:space="preserve">Radiologist</t>
  </si>
  <si>
    <t xml:space="preserve">Surgery-General</t>
  </si>
  <si>
    <t xml:space="preserve">✅ KEY FINDING: Specialties with high avg medication counts also tend to have longer stays and different readmission profiles.</t>
  </si>
  <si>
    <t xml:space="preserve">💡 RECOMMENDATION: Conduct specialty-specific medication reviews to identify overprescribing or underprescribing patterns.</t>
  </si>
  <si>
    <t xml:space="preserve">MQ5: Gender + Age Combined Readmission Analysis</t>
  </si>
  <si>
    <t xml:space="preserve">Do males and females differ by age group?</t>
  </si>
  <si>
    <t xml:space="preserve">✅ KEY FINDING: Both male and female patients show increasing readmission rates with age. Minor differences between genders exist in certain age bands.</t>
  </si>
  <si>
    <t xml:space="preserve">💡 RECOMMENDATION: Gender-sensitive care programs for elderly patients (70+) could further reduce readmissions.</t>
  </si>
  <si>
    <t xml:space="preserve">AQ1: Logistic Regression — Readmission Risk Factors</t>
  </si>
  <si>
    <t xml:space="preserve">Which factors predict readmission most?</t>
  </si>
  <si>
    <t xml:space="preserve">Model AUC Score: 0.6467  |  (AUC &gt; 0.5 means model is better than random guessing)</t>
  </si>
  <si>
    <t xml:space="preserve">Feature</t>
  </si>
  <si>
    <t xml:space="preserve">Coefficient</t>
  </si>
  <si>
    <t xml:space="preserve">Impact</t>
  </si>
  <si>
    <t xml:space="preserve">number_inpatient</t>
  </si>
  <si>
    <t xml:space="preserve">Increases Readmission Risk</t>
  </si>
  <si>
    <t xml:space="preserve">number_emergency</t>
  </si>
  <si>
    <t xml:space="preserve">number_outpatient</t>
  </si>
  <si>
    <t xml:space="preserve">time_in_hospital</t>
  </si>
  <si>
    <t xml:space="preserve">num_medications</t>
  </si>
  <si>
    <t xml:space="preserve">num_lab_procedures</t>
  </si>
  <si>
    <t xml:space="preserve">num_procedures</t>
  </si>
  <si>
    <t xml:space="preserve">Decreases Readmission Risk</t>
  </si>
  <si>
    <t xml:space="preserve">✅ KEY FINDING: AUC = 0.6467. The strongest predictors of readmission are number_inpatient, number_emergency, and number_diagnoses. These should be prioritised in risk scoring.</t>
  </si>
  <si>
    <t xml:space="preserve">💡 RECOMMENDATION: Build a readmission risk score using these top features. Flag high-risk patients at discharge for enhanced follow-up.</t>
  </si>
  <si>
    <t xml:space="preserve">📊 MODEL EXPLANATION: Logistic Regression assigns a coefficient to each feature. Positive = increases readmission risk. Negative = decreases risk.</t>
  </si>
  <si>
    <t xml:space="preserve">AQ2: Patient Segmentation — K-Means Clustering (4 Groups)</t>
  </si>
  <si>
    <t xml:space="preserve">Which patient groups have different care needs?</t>
  </si>
  <si>
    <t xml:space="preserve">segment</t>
  </si>
  <si>
    <t xml:space="preserve">Avg_Diagnoses</t>
  </si>
  <si>
    <t xml:space="preserve">Segment_Name</t>
  </si>
  <si>
    <t xml:space="preserve">High Complexity</t>
  </si>
  <si>
    <t xml:space="preserve">Low Utilization</t>
  </si>
  <si>
    <t xml:space="preserve">Moderate Risk</t>
  </si>
  <si>
    <t xml:space="preserve">Emergency-Prone</t>
  </si>
  <si>
    <t xml:space="preserve">✅ KEY FINDING: 4 distinct patient segments identified. Emergency-Prone and High Complexity patients have significantly higher readmission rates and resource usage.</t>
  </si>
  <si>
    <t xml:space="preserve">💡 RECOMMENDATION: Tailor care pathways per segment — High Complexity patients need multi-specialist coordination; Emergency-Prone need crisis intervention programs.</t>
  </si>
  <si>
    <t xml:space="preserve">📊 METHOD: K-Means clustering grouped patients by hospital stay, medications, inpatient visits, emergency visits, and diagnoses. Each group has a distinct care profile.</t>
  </si>
  <si>
    <t xml:space="preserve">AQ3: Social Determinants — Race &amp; Equity Analysis</t>
  </si>
  <si>
    <t xml:space="preserve">Are readmission rates equal across racial groups?</t>
  </si>
  <si>
    <t xml:space="preserve">✅ KEY FINDING: Readmission rates and care metrics (lab tests, medications, stay length) differ across racial groups — pointing to potential systemic inequities.</t>
  </si>
  <si>
    <t xml:space="preserve">💡 RECOMMENDATION: Investigate root causes of disparities — include language support, community health workers, and culturally-sensitive discharge planning.</t>
  </si>
  <si>
    <t xml:space="preserve">📊 NOTE: Race alone doesn't explain outcomes — socioeconomic factors, insurance status, and access to primary care are likely underlying drivers.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</si>
</sst>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3C5E"/>
      <name val="Arial"/>
      <family val="0"/>
      <charset val="1"/>
    </font>
    <font>
      <i val="true"/>
      <sz val="12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F497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3C5E"/>
        <bgColor rgb="FF1F497D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9F9F9"/>
      </patternFill>
    </fill>
    <fill>
      <patternFill patternType="solid">
        <fgColor rgb="FFDCE6F1"/>
        <bgColor rgb="FFE6F0FF"/>
      </patternFill>
    </fill>
    <fill>
      <patternFill patternType="solid">
        <fgColor rgb="FFFFC000"/>
        <bgColor rgb="FFFF9900"/>
      </patternFill>
    </fill>
    <fill>
      <patternFill patternType="solid">
        <fgColor rgb="FFE2EFDA"/>
        <bgColor rgb="FFDCE6F1"/>
      </patternFill>
    </fill>
    <fill>
      <patternFill patternType="solid">
        <fgColor rgb="FFE6F0FF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E6F0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1A3C5E"/>
      <rgbColor rgb="FF339966"/>
      <rgbColor rgb="FF003300"/>
      <rgbColor rgb="FF333300"/>
      <rgbColor rgb="FF993300"/>
      <rgbColor rgb="FF993366"/>
      <rgbColor rgb="FF1F497D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Readmission Rate (%)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'Q1 - Age &amp; Readmission'!E4</c:f>
              <c:strCache>
                <c:ptCount val="1"/>
                <c:pt idx="0">
                  <c:v>Readmission_Rate_%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'Q1 - Age &amp; Readmission'!$A$5:$A$14</c:f>
              <c:strCache>
                <c:ptCount val="10"/>
                <c:pt idx="0">
                  <c:v>[0-10)</c:v>
                </c:pt>
                <c:pt idx="1">
                  <c:v>[10-20)</c:v>
                </c:pt>
                <c:pt idx="2">
                  <c:v>[20-30)</c:v>
                </c:pt>
                <c:pt idx="3">
                  <c:v>[30-40)</c:v>
                </c:pt>
                <c:pt idx="4">
                  <c:v>[40-50)</c:v>
                </c:pt>
                <c:pt idx="5">
                  <c:v>[50-60)</c:v>
                </c:pt>
                <c:pt idx="6">
                  <c:v>[60-70)</c:v>
                </c:pt>
                <c:pt idx="7">
                  <c:v>[70-80)</c:v>
                </c:pt>
                <c:pt idx="8">
                  <c:v>[80-90)</c:v>
                </c:pt>
                <c:pt idx="9">
                  <c:v>[90-100)</c:v>
                </c:pt>
              </c:strCache>
            </c:strRef>
          </c:cat>
          <c:val>
            <c:numRef>
              <c:f>'Q1 - Age &amp; Readmission'!$E$5:$E$14</c:f>
              <c:numCache>
                <c:formatCode>General</c:formatCode>
                <c:ptCount val="10"/>
                <c:pt idx="0">
                  <c:v>22</c:v>
                </c:pt>
                <c:pt idx="1">
                  <c:v>41.59</c:v>
                </c:pt>
                <c:pt idx="2">
                  <c:v>45.06</c:v>
                </c:pt>
                <c:pt idx="3">
                  <c:v>42.09</c:v>
                </c:pt>
                <c:pt idx="4">
                  <c:v>44.5</c:v>
                </c:pt>
                <c:pt idx="5">
                  <c:v>45.08</c:v>
                </c:pt>
                <c:pt idx="6">
                  <c:v>46.21</c:v>
                </c:pt>
                <c:pt idx="7">
                  <c:v>48.02</c:v>
                </c:pt>
                <c:pt idx="8">
                  <c:v>48.28</c:v>
                </c:pt>
                <c:pt idx="9">
                  <c:v>38.03</c:v>
                </c:pt>
              </c:numCache>
            </c:numRef>
          </c:val>
        </c:ser>
        <c:gapWidth val="150"/>
        <c:overlap val="0"/>
        <c:axId val="75787176"/>
        <c:axId val="11764617"/>
      </c:barChart>
      <c:catAx>
        <c:axId val="757871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64617"/>
        <c:crosses val="autoZero"/>
        <c:auto val="1"/>
        <c:lblAlgn val="ctr"/>
        <c:lblOffset val="100"/>
        <c:noMultiLvlLbl val="0"/>
      </c:catAx>
      <c:valAx>
        <c:axId val="117646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871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20 Specialties by Avg Stay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'Q2 - Specialty &amp; Stay'!B4</c:f>
              <c:strCache>
                <c:ptCount val="1"/>
                <c:pt idx="0">
                  <c:v>Avg_Stay_Days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'Q2 - Specialty &amp; Stay'!$A$5:$A$24</c:f>
              <c:strCache>
                <c:ptCount val="20"/>
                <c:pt idx="0">
                  <c:v>Pediatrics-Pulmonology</c:v>
                </c:pt>
                <c:pt idx="1">
                  <c:v>PhysicalMedicineandRehabilitation</c:v>
                </c:pt>
                <c:pt idx="2">
                  <c:v>OutreachServices</c:v>
                </c:pt>
                <c:pt idx="3">
                  <c:v>Pathology</c:v>
                </c:pt>
                <c:pt idx="4">
                  <c:v>Psychiatry-Addictive</c:v>
                </c:pt>
                <c:pt idx="5">
                  <c:v>Rheumatology</c:v>
                </c:pt>
                <c:pt idx="6">
                  <c:v>Psychiatry-Child/Adolescent</c:v>
                </c:pt>
                <c:pt idx="7">
                  <c:v>Proctology</c:v>
                </c:pt>
                <c:pt idx="8">
                  <c:v>Psychiatry</c:v>
                </c:pt>
                <c:pt idx="9">
                  <c:v>Psychology</c:v>
                </c:pt>
                <c:pt idx="10">
                  <c:v>Surgery-Cardiovascular/Thoracic</c:v>
                </c:pt>
                <c:pt idx="11">
                  <c:v>Surgery-Thoracic</c:v>
                </c:pt>
                <c:pt idx="12">
                  <c:v>Surgery-Pediatric</c:v>
                </c:pt>
                <c:pt idx="13">
                  <c:v>Obsterics&amp;Gynecology-GynecologicOnco</c:v>
                </c:pt>
                <c:pt idx="14">
                  <c:v>Surgery-Colon&amp;Rectal</c:v>
                </c:pt>
                <c:pt idx="15">
                  <c:v>Pulmonology</c:v>
                </c:pt>
                <c:pt idx="16">
                  <c:v>Oncology</c:v>
                </c:pt>
                <c:pt idx="17">
                  <c:v>Surgery-Cardiovascular</c:v>
                </c:pt>
                <c:pt idx="18">
                  <c:v>Hospitalist</c:v>
                </c:pt>
                <c:pt idx="19">
                  <c:v>Pediatrics-Neurology</c:v>
                </c:pt>
              </c:strCache>
            </c:strRef>
          </c:cat>
          <c:val>
            <c:numRef>
              <c:f>'Q2 - Specialty &amp; Stay'!$B$5:$B$24</c:f>
              <c:numCache>
                <c:formatCode>General</c:formatCode>
                <c:ptCount val="20"/>
                <c:pt idx="0">
                  <c:v>10.69</c:v>
                </c:pt>
                <c:pt idx="1">
                  <c:v>8.89</c:v>
                </c:pt>
                <c:pt idx="2">
                  <c:v>8.25</c:v>
                </c:pt>
                <c:pt idx="3">
                  <c:v>8.11</c:v>
                </c:pt>
                <c:pt idx="4">
                  <c:v>8</c:v>
                </c:pt>
                <c:pt idx="5">
                  <c:v>7.88</c:v>
                </c:pt>
                <c:pt idx="6">
                  <c:v>7.22</c:v>
                </c:pt>
                <c:pt idx="7">
                  <c:v>7</c:v>
                </c:pt>
                <c:pt idx="8">
                  <c:v>6.64</c:v>
                </c:pt>
                <c:pt idx="9">
                  <c:v>6.58</c:v>
                </c:pt>
                <c:pt idx="10">
                  <c:v>6.08</c:v>
                </c:pt>
                <c:pt idx="11">
                  <c:v>5.96</c:v>
                </c:pt>
                <c:pt idx="12">
                  <c:v>5.88</c:v>
                </c:pt>
                <c:pt idx="13">
                  <c:v>5.3</c:v>
                </c:pt>
                <c:pt idx="14">
                  <c:v>5.29</c:v>
                </c:pt>
                <c:pt idx="15">
                  <c:v>5.17</c:v>
                </c:pt>
                <c:pt idx="16">
                  <c:v>5.12</c:v>
                </c:pt>
                <c:pt idx="17">
                  <c:v>5.05</c:v>
                </c:pt>
                <c:pt idx="18">
                  <c:v>4.8</c:v>
                </c:pt>
                <c:pt idx="19">
                  <c:v>4.8</c:v>
                </c:pt>
              </c:numCache>
            </c:numRef>
          </c:val>
        </c:ser>
        <c:gapWidth val="150"/>
        <c:overlap val="0"/>
        <c:axId val="4014743"/>
        <c:axId val="34575412"/>
      </c:barChart>
      <c:catAx>
        <c:axId val="4014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75412"/>
        <c:crosses val="autoZero"/>
        <c:auto val="1"/>
        <c:lblAlgn val="ctr"/>
        <c:lblOffset val="100"/>
        <c:noMultiLvlLbl val="0"/>
      </c:catAx>
      <c:valAx>
        <c:axId val="34575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47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Readmission Rate by Prior Emergency Visits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'Q3 - Emergency &amp; Readmission'!D4</c:f>
              <c:strCache>
                <c:ptCount val="1"/>
                <c:pt idx="0">
                  <c:v>Readmission_Rate_%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'Q3 - Emergency &amp; Readmission'!$A$5:$A$9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3-5</c:v>
                </c:pt>
                <c:pt idx="4">
                  <c:v>6+</c:v>
                </c:pt>
              </c:strCache>
            </c:strRef>
          </c:cat>
          <c:val>
            <c:numRef>
              <c:f>'Q3 - Emergency &amp; Readmission'!$D$5:$D$9</c:f>
              <c:numCache>
                <c:formatCode>General</c:formatCode>
                <c:ptCount val="5"/>
                <c:pt idx="0">
                  <c:v>44.04</c:v>
                </c:pt>
                <c:pt idx="1">
                  <c:v>58.71</c:v>
                </c:pt>
                <c:pt idx="2">
                  <c:v>67.57</c:v>
                </c:pt>
                <c:pt idx="3">
                  <c:v>75.52</c:v>
                </c:pt>
                <c:pt idx="4">
                  <c:v>89.01</c:v>
                </c:pt>
              </c:numCache>
            </c:numRef>
          </c:val>
        </c:ser>
        <c:gapWidth val="150"/>
        <c:overlap val="0"/>
        <c:axId val="59975480"/>
        <c:axId val="98398507"/>
      </c:barChart>
      <c:catAx>
        <c:axId val="599754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Emergency Visits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98507"/>
        <c:crosses val="autoZero"/>
        <c:auto val="1"/>
        <c:lblAlgn val="ctr"/>
        <c:lblOffset val="100"/>
        <c:noMultiLvlLbl val="0"/>
      </c:catAx>
      <c:valAx>
        <c:axId val="98398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754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Readmission Rate by Lab Procedure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'Q6 - Lab Procedures'!D4</c:f>
              <c:strCache>
                <c:ptCount val="1"/>
                <c:pt idx="0">
                  <c:v>Readmission_Rate_%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'Q6 - Lab Procedures'!$A$5:$A$9</c:f>
              <c:strCache>
                <c:ptCount val="5"/>
                <c:pt idx="0">
                  <c:v>0-20</c:v>
                </c:pt>
                <c:pt idx="1">
                  <c:v>21-40</c:v>
                </c:pt>
                <c:pt idx="2">
                  <c:v>41-60</c:v>
                </c:pt>
                <c:pt idx="3">
                  <c:v>61-80</c:v>
                </c:pt>
                <c:pt idx="4">
                  <c:v>81+</c:v>
                </c:pt>
              </c:strCache>
            </c:strRef>
          </c:cat>
          <c:val>
            <c:numRef>
              <c:f>'Q6 - Lab Procedures'!$D$5:$D$9</c:f>
              <c:numCache>
                <c:formatCode>General</c:formatCode>
                <c:ptCount val="5"/>
                <c:pt idx="0">
                  <c:v>42.95</c:v>
                </c:pt>
                <c:pt idx="1">
                  <c:v>44.69</c:v>
                </c:pt>
                <c:pt idx="2">
                  <c:v>47.01</c:v>
                </c:pt>
                <c:pt idx="3">
                  <c:v>49.67</c:v>
                </c:pt>
                <c:pt idx="4">
                  <c:v>43.98</c:v>
                </c:pt>
              </c:numCache>
            </c:numRef>
          </c:val>
        </c:ser>
        <c:gapWidth val="150"/>
        <c:overlap val="0"/>
        <c:axId val="58525670"/>
        <c:axId val="36487218"/>
      </c:barChart>
      <c:catAx>
        <c:axId val="585256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Lab Procedures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87218"/>
        <c:crosses val="autoZero"/>
        <c:auto val="1"/>
        <c:lblAlgn val="ctr"/>
        <c:lblOffset val="100"/>
        <c:noMultiLvlLbl val="0"/>
      </c:catAx>
      <c:valAx>
        <c:axId val="364872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256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Hospital Stay by Medication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'Q9 - Medications &amp; Stay'!B4</c:f>
              <c:strCache>
                <c:ptCount val="1"/>
                <c:pt idx="0">
                  <c:v>Avg_Hospital_Stay_Days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'Q9 - Medications &amp; Stay'!$A$5:$A$9</c:f>
              <c:strCache>
                <c:ptCount val="5"/>
                <c:pt idx="0">
                  <c:v>0-10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41+</c:v>
                </c:pt>
              </c:strCache>
            </c:strRef>
          </c:cat>
          <c:val>
            <c:numRef>
              <c:f>'Q9 - Medications &amp; Stay'!$B$5:$B$9</c:f>
              <c:numCache>
                <c:formatCode>General</c:formatCode>
                <c:ptCount val="5"/>
                <c:pt idx="0">
                  <c:v>2.87</c:v>
                </c:pt>
                <c:pt idx="1">
                  <c:v>4.22</c:v>
                </c:pt>
                <c:pt idx="2">
                  <c:v>6</c:v>
                </c:pt>
                <c:pt idx="3">
                  <c:v>7.79</c:v>
                </c:pt>
                <c:pt idx="4">
                  <c:v>8.68</c:v>
                </c:pt>
              </c:numCache>
            </c:numRef>
          </c:val>
        </c:ser>
        <c:gapWidth val="150"/>
        <c:overlap val="0"/>
        <c:axId val="87128282"/>
        <c:axId val="78147886"/>
      </c:barChart>
      <c:catAx>
        <c:axId val="871282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Medications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47886"/>
        <c:crosses val="autoZero"/>
        <c:auto val="1"/>
        <c:lblAlgn val="ctr"/>
        <c:lblOffset val="100"/>
        <c:noMultiLvlLbl val="0"/>
      </c:catAx>
      <c:valAx>
        <c:axId val="781478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Stay (Days)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282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17</xdr:col>
      <xdr:colOff>473040</xdr:colOff>
      <xdr:row>26</xdr:row>
      <xdr:rowOff>35280</xdr:rowOff>
    </xdr:to>
    <xdr:graphicFrame>
      <xdr:nvGraphicFramePr>
        <xdr:cNvPr id="0" name="Chart 1"/>
        <xdr:cNvGraphicFramePr/>
      </xdr:nvGraphicFramePr>
      <xdr:xfrm>
        <a:off x="6320880" y="80028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16</xdr:col>
      <xdr:colOff>581760</xdr:colOff>
      <xdr:row>32</xdr:row>
      <xdr:rowOff>10440</xdr:rowOff>
    </xdr:to>
    <xdr:graphicFrame>
      <xdr:nvGraphicFramePr>
        <xdr:cNvPr id="1" name="Chart 1"/>
        <xdr:cNvGraphicFramePr/>
      </xdr:nvGraphicFramePr>
      <xdr:xfrm>
        <a:off x="5616000" y="800280"/>
        <a:ext cx="791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16</xdr:col>
      <xdr:colOff>473040</xdr:colOff>
      <xdr:row>25</xdr:row>
      <xdr:rowOff>113400</xdr:rowOff>
    </xdr:to>
    <xdr:graphicFrame>
      <xdr:nvGraphicFramePr>
        <xdr:cNvPr id="2" name="Chart 1"/>
        <xdr:cNvGraphicFramePr/>
      </xdr:nvGraphicFramePr>
      <xdr:xfrm>
        <a:off x="5897880" y="80028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16</xdr:col>
      <xdr:colOff>473040</xdr:colOff>
      <xdr:row>25</xdr:row>
      <xdr:rowOff>113400</xdr:rowOff>
    </xdr:to>
    <xdr:graphicFrame>
      <xdr:nvGraphicFramePr>
        <xdr:cNvPr id="3" name="Chart 1"/>
        <xdr:cNvGraphicFramePr/>
      </xdr:nvGraphicFramePr>
      <xdr:xfrm>
        <a:off x="5686560" y="80028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15</xdr:col>
      <xdr:colOff>473040</xdr:colOff>
      <xdr:row>25</xdr:row>
      <xdr:rowOff>113400</xdr:rowOff>
    </xdr:to>
    <xdr:graphicFrame>
      <xdr:nvGraphicFramePr>
        <xdr:cNvPr id="4" name="Chart 1"/>
        <xdr:cNvGraphicFramePr/>
      </xdr:nvGraphicFramePr>
      <xdr:xfrm>
        <a:off x="5122440" y="80028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25"/>
  </cols>
  <sheetData>
    <row r="2" customFormat="false" ht="24.4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8" hidden="false" customHeight="true" outlineLevel="0" collapsed="false"/>
    <row r="6" customFormat="false" ht="18" hidden="false" customHeight="true" outlineLevel="0" collapsed="false">
      <c r="B6" s="3" t="s">
        <v>2</v>
      </c>
      <c r="C6" s="3"/>
    </row>
    <row r="7" customFormat="false" ht="18" hidden="false" customHeight="true" outlineLevel="0" collapsed="false">
      <c r="B7" s="4" t="s">
        <v>3</v>
      </c>
      <c r="C7" s="5" t="s">
        <v>4</v>
      </c>
    </row>
    <row r="8" customFormat="false" ht="18" hidden="false" customHeight="true" outlineLevel="0" collapsed="false">
      <c r="B8" s="4" t="s">
        <v>5</v>
      </c>
      <c r="C8" s="5" t="s">
        <v>6</v>
      </c>
    </row>
    <row r="9" customFormat="false" ht="18" hidden="false" customHeight="true" outlineLevel="0" collapsed="false">
      <c r="B9" s="4" t="s">
        <v>7</v>
      </c>
      <c r="C9" s="5" t="s">
        <v>8</v>
      </c>
    </row>
    <row r="10" customFormat="false" ht="18" hidden="false" customHeight="true" outlineLevel="0" collapsed="false">
      <c r="B10" s="4" t="s">
        <v>9</v>
      </c>
      <c r="C10" s="5" t="s">
        <v>10</v>
      </c>
    </row>
    <row r="11" customFormat="false" ht="18" hidden="false" customHeight="true" outlineLevel="0" collapsed="false">
      <c r="B11" s="4" t="s">
        <v>11</v>
      </c>
      <c r="C11" s="5" t="s">
        <v>12</v>
      </c>
    </row>
    <row r="12" customFormat="false" ht="18" hidden="false" customHeight="true" outlineLevel="0" collapsed="false">
      <c r="B12" s="4" t="s">
        <v>13</v>
      </c>
      <c r="C12" s="5" t="s">
        <v>14</v>
      </c>
    </row>
    <row r="13" customFormat="false" ht="18" hidden="false" customHeight="true" outlineLevel="0" collapsed="false">
      <c r="B13" s="4" t="s">
        <v>15</v>
      </c>
      <c r="C13" s="5" t="s">
        <v>16</v>
      </c>
    </row>
    <row r="14" customFormat="false" ht="18" hidden="false" customHeight="true" outlineLevel="0" collapsed="false">
      <c r="B14" s="4" t="s">
        <v>17</v>
      </c>
      <c r="C14" s="5" t="s">
        <v>18</v>
      </c>
    </row>
    <row r="15" customFormat="false" ht="18" hidden="false" customHeight="true" outlineLevel="0" collapsed="false">
      <c r="B15" s="4" t="s">
        <v>19</v>
      </c>
      <c r="C15" s="5" t="s">
        <v>20</v>
      </c>
    </row>
    <row r="16" customFormat="false" ht="18" hidden="false" customHeight="true" outlineLevel="0" collapsed="false">
      <c r="B16" s="4" t="s">
        <v>21</v>
      </c>
      <c r="C16" s="5" t="s">
        <v>22</v>
      </c>
    </row>
    <row r="17" customFormat="false" ht="18" hidden="false" customHeight="true" outlineLevel="0" collapsed="false"/>
    <row r="18" customFormat="false" ht="18" hidden="false" customHeight="true" outlineLevel="0" collapsed="false">
      <c r="B18" s="3" t="s">
        <v>23</v>
      </c>
      <c r="C18" s="3"/>
    </row>
    <row r="19" customFormat="false" ht="18" hidden="false" customHeight="true" outlineLevel="0" collapsed="false">
      <c r="B19" s="4" t="s">
        <v>24</v>
      </c>
      <c r="C19" s="5" t="s">
        <v>25</v>
      </c>
    </row>
    <row r="20" customFormat="false" ht="18" hidden="false" customHeight="true" outlineLevel="0" collapsed="false">
      <c r="B20" s="4" t="s">
        <v>26</v>
      </c>
      <c r="C20" s="5" t="s">
        <v>27</v>
      </c>
    </row>
    <row r="21" customFormat="false" ht="18" hidden="false" customHeight="true" outlineLevel="0" collapsed="false">
      <c r="B21" s="4" t="s">
        <v>28</v>
      </c>
      <c r="C21" s="5" t="s">
        <v>29</v>
      </c>
    </row>
    <row r="22" customFormat="false" ht="18" hidden="false" customHeight="true" outlineLevel="0" collapsed="false">
      <c r="B22" s="4" t="s">
        <v>30</v>
      </c>
      <c r="C22" s="5" t="s">
        <v>31</v>
      </c>
    </row>
    <row r="23" customFormat="false" ht="18" hidden="false" customHeight="true" outlineLevel="0" collapsed="false">
      <c r="B23" s="4" t="s">
        <v>32</v>
      </c>
      <c r="C23" s="5" t="s">
        <v>33</v>
      </c>
    </row>
    <row r="24" customFormat="false" ht="18" hidden="false" customHeight="true" outlineLevel="0" collapsed="false"/>
    <row r="25" customFormat="false" ht="18" hidden="false" customHeight="true" outlineLevel="0" collapsed="false">
      <c r="B25" s="3" t="s">
        <v>34</v>
      </c>
      <c r="C25" s="3"/>
    </row>
    <row r="26" customFormat="false" ht="18" hidden="false" customHeight="true" outlineLevel="0" collapsed="false">
      <c r="B26" s="4" t="s">
        <v>35</v>
      </c>
      <c r="C26" s="5" t="s">
        <v>36</v>
      </c>
    </row>
    <row r="27" customFormat="false" ht="18" hidden="false" customHeight="true" outlineLevel="0" collapsed="false">
      <c r="B27" s="4" t="s">
        <v>37</v>
      </c>
      <c r="C27" s="5" t="s">
        <v>38</v>
      </c>
    </row>
    <row r="28" customFormat="false" ht="18" hidden="false" customHeight="true" outlineLevel="0" collapsed="false">
      <c r="B28" s="4" t="s">
        <v>39</v>
      </c>
      <c r="C28" s="5" t="s">
        <v>40</v>
      </c>
    </row>
  </sheetData>
  <mergeCells count="5">
    <mergeCell ref="B2:C2"/>
    <mergeCell ref="B3:C3"/>
    <mergeCell ref="B6:C6"/>
    <mergeCell ref="B18:C18"/>
    <mergeCell ref="B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30" hidden="false" customHeight="true" outlineLevel="0" collapsed="false">
      <c r="A1" s="6" t="s">
        <v>41</v>
      </c>
      <c r="B1" s="6"/>
      <c r="C1" s="6"/>
      <c r="D1" s="6"/>
      <c r="E1" s="6"/>
    </row>
    <row r="2" customFormat="false" ht="18" hidden="false" customHeight="true" outlineLevel="0" collapsed="false">
      <c r="A2" s="7" t="s">
        <v>42</v>
      </c>
      <c r="B2" s="7"/>
      <c r="C2" s="7"/>
      <c r="D2" s="7"/>
      <c r="E2" s="7"/>
    </row>
    <row r="4" customFormat="false" ht="26.85" hidden="false" customHeight="false" outlineLevel="0" collapsed="false">
      <c r="A4" s="8" t="s">
        <v>43</v>
      </c>
      <c r="B4" s="8" t="s">
        <v>44</v>
      </c>
      <c r="C4" s="8" t="s">
        <v>45</v>
      </c>
      <c r="D4" s="8" t="s">
        <v>46</v>
      </c>
      <c r="E4" s="8" t="s">
        <v>47</v>
      </c>
    </row>
    <row r="5" customFormat="false" ht="15" hidden="false" customHeight="false" outlineLevel="0" collapsed="false">
      <c r="A5" s="9" t="s">
        <v>48</v>
      </c>
      <c r="B5" s="9" t="n">
        <v>100</v>
      </c>
      <c r="C5" s="9" t="n">
        <v>22</v>
      </c>
      <c r="D5" s="9" t="n">
        <v>78</v>
      </c>
      <c r="E5" s="9" t="n">
        <v>22</v>
      </c>
    </row>
    <row r="6" customFormat="false" ht="15" hidden="false" customHeight="false" outlineLevel="0" collapsed="false">
      <c r="A6" s="10" t="s">
        <v>49</v>
      </c>
      <c r="B6" s="10" t="n">
        <v>428</v>
      </c>
      <c r="C6" s="10" t="n">
        <v>178</v>
      </c>
      <c r="D6" s="10" t="n">
        <v>250</v>
      </c>
      <c r="E6" s="10" t="n">
        <v>41.59</v>
      </c>
    </row>
    <row r="7" customFormat="false" ht="15" hidden="false" customHeight="false" outlineLevel="0" collapsed="false">
      <c r="A7" s="9" t="s">
        <v>50</v>
      </c>
      <c r="B7" s="9" t="n">
        <v>1154</v>
      </c>
      <c r="C7" s="9" t="n">
        <v>520</v>
      </c>
      <c r="D7" s="9" t="n">
        <v>634</v>
      </c>
      <c r="E7" s="9" t="n">
        <v>45.06</v>
      </c>
    </row>
    <row r="8" customFormat="false" ht="15" hidden="false" customHeight="false" outlineLevel="0" collapsed="false">
      <c r="A8" s="10" t="s">
        <v>51</v>
      </c>
      <c r="B8" s="10" t="n">
        <v>2414</v>
      </c>
      <c r="C8" s="10" t="n">
        <v>1016</v>
      </c>
      <c r="D8" s="10" t="n">
        <v>1398</v>
      </c>
      <c r="E8" s="10" t="n">
        <v>42.09</v>
      </c>
    </row>
    <row r="9" customFormat="false" ht="15" hidden="false" customHeight="false" outlineLevel="0" collapsed="false">
      <c r="A9" s="9" t="s">
        <v>52</v>
      </c>
      <c r="B9" s="9" t="n">
        <v>6324</v>
      </c>
      <c r="C9" s="9" t="n">
        <v>2814</v>
      </c>
      <c r="D9" s="9" t="n">
        <v>3510</v>
      </c>
      <c r="E9" s="9" t="n">
        <v>44.5</v>
      </c>
    </row>
    <row r="10" customFormat="false" ht="15" hidden="false" customHeight="false" outlineLevel="0" collapsed="false">
      <c r="A10" s="10" t="s">
        <v>53</v>
      </c>
      <c r="B10" s="10" t="n">
        <v>11378</v>
      </c>
      <c r="C10" s="10" t="n">
        <v>5129</v>
      </c>
      <c r="D10" s="10" t="n">
        <v>6249</v>
      </c>
      <c r="E10" s="10" t="n">
        <v>45.08</v>
      </c>
    </row>
    <row r="11" customFormat="false" ht="15" hidden="false" customHeight="false" outlineLevel="0" collapsed="false">
      <c r="A11" s="9" t="s">
        <v>54</v>
      </c>
      <c r="B11" s="9" t="n">
        <v>14845</v>
      </c>
      <c r="C11" s="9" t="n">
        <v>6860</v>
      </c>
      <c r="D11" s="9" t="n">
        <v>7985</v>
      </c>
      <c r="E11" s="9" t="n">
        <v>46.21</v>
      </c>
    </row>
    <row r="12" customFormat="false" ht="15" hidden="false" customHeight="false" outlineLevel="0" collapsed="false">
      <c r="A12" s="10" t="s">
        <v>55</v>
      </c>
      <c r="B12" s="10" t="n">
        <v>17031</v>
      </c>
      <c r="C12" s="10" t="n">
        <v>8179</v>
      </c>
      <c r="D12" s="10" t="n">
        <v>8852</v>
      </c>
      <c r="E12" s="11" t="n">
        <v>48.02</v>
      </c>
    </row>
    <row r="13" customFormat="false" ht="15" hidden="false" customHeight="false" outlineLevel="0" collapsed="false">
      <c r="A13" s="9" t="s">
        <v>56</v>
      </c>
      <c r="B13" s="9" t="n">
        <v>11080</v>
      </c>
      <c r="C13" s="9" t="n">
        <v>5349</v>
      </c>
      <c r="D13" s="9" t="n">
        <v>5731</v>
      </c>
      <c r="E13" s="11" t="n">
        <v>48.28</v>
      </c>
    </row>
    <row r="14" customFormat="false" ht="15" hidden="false" customHeight="false" outlineLevel="0" collapsed="false">
      <c r="A14" s="10" t="s">
        <v>57</v>
      </c>
      <c r="B14" s="10" t="n">
        <v>1833</v>
      </c>
      <c r="C14" s="10" t="n">
        <v>697</v>
      </c>
      <c r="D14" s="10" t="n">
        <v>1136</v>
      </c>
      <c r="E14" s="10" t="n">
        <v>38.03</v>
      </c>
    </row>
    <row r="16" customFormat="false" ht="23.85" hidden="false" customHeight="true" outlineLevel="0" collapsed="false">
      <c r="A16" s="12" t="s">
        <v>58</v>
      </c>
      <c r="B16" s="12"/>
      <c r="C16" s="12"/>
      <c r="D16" s="12"/>
      <c r="E16" s="12"/>
    </row>
    <row r="17" customFormat="false" ht="15" hidden="false" customHeight="true" outlineLevel="0" collapsed="false">
      <c r="A17" s="12" t="s">
        <v>59</v>
      </c>
      <c r="B17" s="12"/>
      <c r="C17" s="12"/>
      <c r="D17" s="12"/>
      <c r="E17" s="12"/>
    </row>
  </sheetData>
  <mergeCells count="4">
    <mergeCell ref="A1:E1"/>
    <mergeCell ref="A2:E2"/>
    <mergeCell ref="A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30" hidden="false" customHeight="true" outlineLevel="0" collapsed="false">
      <c r="A1" s="6" t="s">
        <v>60</v>
      </c>
      <c r="B1" s="6"/>
      <c r="C1" s="6"/>
    </row>
    <row r="2" customFormat="false" ht="18" hidden="false" customHeight="true" outlineLevel="0" collapsed="false">
      <c r="A2" s="7" t="s">
        <v>61</v>
      </c>
      <c r="B2" s="7"/>
      <c r="C2" s="7"/>
    </row>
    <row r="4" customFormat="false" ht="15" hidden="false" customHeight="false" outlineLevel="0" collapsed="false">
      <c r="A4" s="8" t="s">
        <v>62</v>
      </c>
      <c r="B4" s="8" t="s">
        <v>63</v>
      </c>
    </row>
    <row r="5" customFormat="false" ht="15" hidden="false" customHeight="false" outlineLevel="0" collapsed="false">
      <c r="A5" s="9" t="s">
        <v>64</v>
      </c>
      <c r="B5" s="9" t="n">
        <v>10.69</v>
      </c>
    </row>
    <row r="6" customFormat="false" ht="15" hidden="false" customHeight="false" outlineLevel="0" collapsed="false">
      <c r="A6" s="10" t="s">
        <v>65</v>
      </c>
      <c r="B6" s="10" t="n">
        <v>8.89</v>
      </c>
    </row>
    <row r="7" customFormat="false" ht="15" hidden="false" customHeight="false" outlineLevel="0" collapsed="false">
      <c r="A7" s="9" t="s">
        <v>66</v>
      </c>
      <c r="B7" s="9" t="n">
        <v>8.25</v>
      </c>
    </row>
    <row r="8" customFormat="false" ht="15" hidden="false" customHeight="false" outlineLevel="0" collapsed="false">
      <c r="A8" s="10" t="s">
        <v>67</v>
      </c>
      <c r="B8" s="10" t="n">
        <v>8.11</v>
      </c>
    </row>
    <row r="9" customFormat="false" ht="15" hidden="false" customHeight="false" outlineLevel="0" collapsed="false">
      <c r="A9" s="9" t="s">
        <v>68</v>
      </c>
      <c r="B9" s="9" t="n">
        <v>8</v>
      </c>
    </row>
    <row r="10" customFormat="false" ht="15" hidden="false" customHeight="false" outlineLevel="0" collapsed="false">
      <c r="A10" s="10" t="s">
        <v>69</v>
      </c>
      <c r="B10" s="10" t="n">
        <v>7.88</v>
      </c>
    </row>
    <row r="11" customFormat="false" ht="15" hidden="false" customHeight="false" outlineLevel="0" collapsed="false">
      <c r="A11" s="9" t="s">
        <v>70</v>
      </c>
      <c r="B11" s="9" t="n">
        <v>7.22</v>
      </c>
    </row>
    <row r="12" customFormat="false" ht="15" hidden="false" customHeight="false" outlineLevel="0" collapsed="false">
      <c r="A12" s="10" t="s">
        <v>71</v>
      </c>
      <c r="B12" s="10" t="n">
        <v>7</v>
      </c>
    </row>
    <row r="13" customFormat="false" ht="15" hidden="false" customHeight="false" outlineLevel="0" collapsed="false">
      <c r="A13" s="9" t="s">
        <v>72</v>
      </c>
      <c r="B13" s="9" t="n">
        <v>6.64</v>
      </c>
    </row>
    <row r="14" customFormat="false" ht="15" hidden="false" customHeight="false" outlineLevel="0" collapsed="false">
      <c r="A14" s="10" t="s">
        <v>73</v>
      </c>
      <c r="B14" s="10" t="n">
        <v>6.58</v>
      </c>
    </row>
    <row r="15" customFormat="false" ht="15" hidden="false" customHeight="false" outlineLevel="0" collapsed="false">
      <c r="A15" s="9" t="s">
        <v>74</v>
      </c>
      <c r="B15" s="9" t="n">
        <v>6.08</v>
      </c>
    </row>
    <row r="16" customFormat="false" ht="15" hidden="false" customHeight="false" outlineLevel="0" collapsed="false">
      <c r="A16" s="10" t="s">
        <v>75</v>
      </c>
      <c r="B16" s="10" t="n">
        <v>5.96</v>
      </c>
    </row>
    <row r="17" customFormat="false" ht="15" hidden="false" customHeight="false" outlineLevel="0" collapsed="false">
      <c r="A17" s="9" t="s">
        <v>76</v>
      </c>
      <c r="B17" s="9" t="n">
        <v>5.88</v>
      </c>
    </row>
    <row r="18" customFormat="false" ht="15" hidden="false" customHeight="false" outlineLevel="0" collapsed="false">
      <c r="A18" s="10" t="s">
        <v>77</v>
      </c>
      <c r="B18" s="10" t="n">
        <v>5.3</v>
      </c>
    </row>
    <row r="19" customFormat="false" ht="15" hidden="false" customHeight="false" outlineLevel="0" collapsed="false">
      <c r="A19" s="9" t="s">
        <v>78</v>
      </c>
      <c r="B19" s="9" t="n">
        <v>5.29</v>
      </c>
    </row>
    <row r="20" customFormat="false" ht="15" hidden="false" customHeight="false" outlineLevel="0" collapsed="false">
      <c r="A20" s="10" t="s">
        <v>79</v>
      </c>
      <c r="B20" s="10" t="n">
        <v>5.17</v>
      </c>
    </row>
    <row r="21" customFormat="false" ht="15" hidden="false" customHeight="false" outlineLevel="0" collapsed="false">
      <c r="A21" s="9" t="s">
        <v>80</v>
      </c>
      <c r="B21" s="9" t="n">
        <v>5.12</v>
      </c>
    </row>
    <row r="22" customFormat="false" ht="15" hidden="false" customHeight="false" outlineLevel="0" collapsed="false">
      <c r="A22" s="10" t="s">
        <v>81</v>
      </c>
      <c r="B22" s="10" t="n">
        <v>5.05</v>
      </c>
    </row>
    <row r="23" customFormat="false" ht="15" hidden="false" customHeight="false" outlineLevel="0" collapsed="false">
      <c r="A23" s="9" t="s">
        <v>82</v>
      </c>
      <c r="B23" s="9" t="n">
        <v>4.8</v>
      </c>
    </row>
    <row r="24" customFormat="false" ht="15" hidden="false" customHeight="false" outlineLevel="0" collapsed="false">
      <c r="A24" s="10" t="s">
        <v>83</v>
      </c>
      <c r="B24" s="10" t="n">
        <v>4.8</v>
      </c>
    </row>
    <row r="26" customFormat="false" ht="23.85" hidden="false" customHeight="true" outlineLevel="0" collapsed="false">
      <c r="A26" s="12" t="s">
        <v>84</v>
      </c>
      <c r="B26" s="12"/>
      <c r="C26" s="12"/>
    </row>
    <row r="27" customFormat="false" ht="23.85" hidden="false" customHeight="true" outlineLevel="0" collapsed="false">
      <c r="A27" s="12" t="s">
        <v>85</v>
      </c>
      <c r="B27" s="12"/>
      <c r="C27" s="12"/>
    </row>
  </sheetData>
  <mergeCells count="4">
    <mergeCell ref="A1:C1"/>
    <mergeCell ref="A2:C2"/>
    <mergeCell ref="A26:C26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4"/>
    <col collapsed="false" customWidth="true" hidden="false" outlineLevel="0" max="4" min="4" style="0" width="22"/>
  </cols>
  <sheetData>
    <row r="1" customFormat="false" ht="30" hidden="false" customHeight="true" outlineLevel="0" collapsed="false">
      <c r="A1" s="6" t="s">
        <v>86</v>
      </c>
      <c r="B1" s="6"/>
      <c r="C1" s="6"/>
      <c r="D1" s="6"/>
    </row>
    <row r="2" customFormat="false" ht="18" hidden="false" customHeight="true" outlineLevel="0" collapsed="false">
      <c r="A2" s="7" t="s">
        <v>87</v>
      </c>
      <c r="B2" s="7"/>
      <c r="C2" s="7"/>
      <c r="D2" s="7"/>
    </row>
    <row r="3" customFormat="false" ht="15" hidden="false" customHeight="false" outlineLevel="0" collapsed="false">
      <c r="A3" s="13" t="s">
        <v>88</v>
      </c>
      <c r="B3" s="13"/>
      <c r="C3" s="13"/>
      <c r="D3" s="13"/>
    </row>
    <row r="4" customFormat="false" ht="26.85" hidden="false" customHeight="false" outlineLevel="0" collapsed="false">
      <c r="A4" s="8" t="s">
        <v>89</v>
      </c>
      <c r="B4" s="8" t="s">
        <v>44</v>
      </c>
      <c r="C4" s="8" t="s">
        <v>45</v>
      </c>
      <c r="D4" s="8" t="s">
        <v>47</v>
      </c>
    </row>
    <row r="5" customFormat="false" ht="15" hidden="false" customHeight="false" outlineLevel="0" collapsed="false">
      <c r="A5" s="9" t="s">
        <v>90</v>
      </c>
      <c r="B5" s="9" t="n">
        <v>59087</v>
      </c>
      <c r="C5" s="9" t="n">
        <v>26023</v>
      </c>
      <c r="D5" s="9" t="n">
        <v>44.04</v>
      </c>
    </row>
    <row r="6" customFormat="false" ht="15" hidden="false" customHeight="false" outlineLevel="0" collapsed="false">
      <c r="A6" s="10" t="s">
        <v>91</v>
      </c>
      <c r="B6" s="10" t="n">
        <v>5117</v>
      </c>
      <c r="C6" s="10" t="n">
        <v>3004</v>
      </c>
      <c r="D6" s="11" t="n">
        <v>58.71</v>
      </c>
    </row>
    <row r="7" customFormat="false" ht="15" hidden="false" customHeight="false" outlineLevel="0" collapsed="false">
      <c r="A7" s="9" t="s">
        <v>92</v>
      </c>
      <c r="B7" s="9" t="n">
        <v>1252</v>
      </c>
      <c r="C7" s="9" t="n">
        <v>846</v>
      </c>
      <c r="D7" s="11" t="n">
        <v>67.57</v>
      </c>
    </row>
    <row r="8" customFormat="false" ht="15" hidden="false" customHeight="false" outlineLevel="0" collapsed="false">
      <c r="A8" s="10" t="s">
        <v>93</v>
      </c>
      <c r="B8" s="10" t="n">
        <v>858</v>
      </c>
      <c r="C8" s="10" t="n">
        <v>648</v>
      </c>
      <c r="D8" s="11" t="n">
        <v>75.52</v>
      </c>
    </row>
    <row r="9" customFormat="false" ht="15" hidden="false" customHeight="false" outlineLevel="0" collapsed="false">
      <c r="A9" s="9" t="s">
        <v>94</v>
      </c>
      <c r="B9" s="9" t="n">
        <v>273</v>
      </c>
      <c r="C9" s="9" t="n">
        <v>243</v>
      </c>
      <c r="D9" s="11" t="n">
        <v>89.01</v>
      </c>
    </row>
    <row r="11" customFormat="false" ht="23.85" hidden="false" customHeight="true" outlineLevel="0" collapsed="false">
      <c r="A11" s="12" t="s">
        <v>95</v>
      </c>
      <c r="B11" s="12"/>
      <c r="C11" s="12"/>
      <c r="D11" s="12"/>
    </row>
    <row r="12" customFormat="false" ht="23.85" hidden="false" customHeight="true" outlineLevel="0" collapsed="false">
      <c r="A12" s="12" t="s">
        <v>96</v>
      </c>
      <c r="B12" s="12"/>
      <c r="C12" s="12"/>
      <c r="D12" s="12"/>
    </row>
  </sheetData>
  <mergeCells count="5">
    <mergeCell ref="A1:D1"/>
    <mergeCell ref="A2:D2"/>
    <mergeCell ref="A3:D3"/>
    <mergeCell ref="A11:D1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30" hidden="false" customHeight="true" outlineLevel="0" collapsed="false">
      <c r="A1" s="6" t="s">
        <v>97</v>
      </c>
      <c r="B1" s="6"/>
      <c r="C1" s="6"/>
      <c r="D1" s="6"/>
    </row>
    <row r="2" customFormat="false" ht="18" hidden="false" customHeight="true" outlineLevel="0" collapsed="false">
      <c r="A2" s="7" t="s">
        <v>98</v>
      </c>
      <c r="B2" s="7"/>
      <c r="C2" s="7"/>
      <c r="D2" s="7"/>
    </row>
    <row r="4" customFormat="false" ht="26.85" hidden="false" customHeight="false" outlineLevel="0" collapsed="false">
      <c r="A4" s="8" t="s">
        <v>99</v>
      </c>
      <c r="B4" s="8" t="s">
        <v>44</v>
      </c>
      <c r="C4" s="8" t="s">
        <v>45</v>
      </c>
      <c r="D4" s="8" t="s">
        <v>47</v>
      </c>
    </row>
    <row r="5" customFormat="false" ht="15" hidden="false" customHeight="false" outlineLevel="0" collapsed="false">
      <c r="A5" s="9" t="s">
        <v>100</v>
      </c>
      <c r="B5" s="9" t="n">
        <v>51205</v>
      </c>
      <c r="C5" s="9" t="n">
        <v>24559</v>
      </c>
      <c r="D5" s="9" t="n">
        <v>47.96</v>
      </c>
    </row>
    <row r="6" customFormat="false" ht="15" hidden="false" customHeight="false" outlineLevel="0" collapsed="false">
      <c r="A6" s="10" t="s">
        <v>101</v>
      </c>
      <c r="B6" s="10" t="n">
        <v>15382</v>
      </c>
      <c r="C6" s="10" t="n">
        <v>6205</v>
      </c>
      <c r="D6" s="10" t="n">
        <v>40.34</v>
      </c>
    </row>
    <row r="7" customFormat="false" ht="15" hidden="false" customHeight="false" outlineLevel="0" collapsed="false">
      <c r="A7" s="9" t="s">
        <v>102</v>
      </c>
      <c r="B7" s="9" t="n">
        <v>66587</v>
      </c>
      <c r="C7" s="9" t="n">
        <v>30764</v>
      </c>
      <c r="D7" s="9" t="n">
        <v>46.2</v>
      </c>
    </row>
    <row r="9" customFormat="false" ht="23.85" hidden="false" customHeight="true" outlineLevel="0" collapsed="false">
      <c r="A9" s="12" t="s">
        <v>103</v>
      </c>
      <c r="B9" s="12"/>
      <c r="C9" s="12"/>
      <c r="D9" s="12"/>
    </row>
    <row r="10" customFormat="false" ht="23.85" hidden="false" customHeight="true" outlineLevel="0" collapsed="false">
      <c r="A10" s="12" t="s">
        <v>104</v>
      </c>
      <c r="B10" s="12"/>
      <c r="C10" s="12"/>
      <c r="D10" s="12"/>
    </row>
  </sheetData>
  <mergeCells count="4">
    <mergeCell ref="A1:D1"/>
    <mergeCell ref="A2:D2"/>
    <mergeCell ref="A9:D9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30" hidden="false" customHeight="true" outlineLevel="0" collapsed="false">
      <c r="A1" s="6" t="s">
        <v>105</v>
      </c>
      <c r="B1" s="6"/>
      <c r="C1" s="6"/>
      <c r="D1" s="6"/>
    </row>
    <row r="2" customFormat="false" ht="18" hidden="false" customHeight="true" outlineLevel="0" collapsed="false">
      <c r="A2" s="7" t="s">
        <v>106</v>
      </c>
      <c r="B2" s="7"/>
      <c r="C2" s="7"/>
      <c r="D2" s="7"/>
    </row>
    <row r="4" customFormat="false" ht="26.85" hidden="false" customHeight="false" outlineLevel="0" collapsed="false">
      <c r="A4" s="8" t="s">
        <v>107</v>
      </c>
      <c r="B4" s="8" t="s">
        <v>108</v>
      </c>
      <c r="C4" s="8" t="s">
        <v>45</v>
      </c>
      <c r="D4" s="8" t="s">
        <v>47</v>
      </c>
    </row>
    <row r="5" customFormat="false" ht="15" hidden="false" customHeight="false" outlineLevel="0" collapsed="false">
      <c r="A5" s="9" t="s">
        <v>109</v>
      </c>
      <c r="B5" s="9" t="n">
        <v>30693</v>
      </c>
      <c r="C5" s="9" t="n">
        <v>14923</v>
      </c>
      <c r="D5" s="9" t="n">
        <v>48.62</v>
      </c>
    </row>
    <row r="6" customFormat="false" ht="15" hidden="false" customHeight="false" outlineLevel="0" collapsed="false">
      <c r="A6" s="10" t="s">
        <v>110</v>
      </c>
      <c r="B6" s="10" t="n">
        <v>35894</v>
      </c>
      <c r="C6" s="10" t="n">
        <v>15841</v>
      </c>
      <c r="D6" s="10" t="n">
        <v>44.13</v>
      </c>
    </row>
    <row r="8" customFormat="false" ht="23.85" hidden="false" customHeight="true" outlineLevel="0" collapsed="false">
      <c r="A8" s="12" t="s">
        <v>111</v>
      </c>
      <c r="B8" s="12"/>
      <c r="C8" s="12"/>
      <c r="D8" s="12"/>
    </row>
    <row r="9" customFormat="false" ht="23.85" hidden="false" customHeight="true" outlineLevel="0" collapsed="false">
      <c r="A9" s="12" t="s">
        <v>112</v>
      </c>
      <c r="B9" s="12"/>
      <c r="C9" s="12"/>
      <c r="D9" s="12"/>
    </row>
  </sheetData>
  <mergeCells count="4">
    <mergeCell ref="A1:D1"/>
    <mergeCell ref="A2:D2"/>
    <mergeCell ref="A8:D8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22"/>
  </cols>
  <sheetData>
    <row r="1" customFormat="false" ht="30" hidden="false" customHeight="true" outlineLevel="0" collapsed="false">
      <c r="A1" s="6" t="s">
        <v>113</v>
      </c>
      <c r="B1" s="6"/>
      <c r="C1" s="6"/>
      <c r="D1" s="6"/>
    </row>
    <row r="2" customFormat="false" ht="18" hidden="false" customHeight="true" outlineLevel="0" collapsed="false">
      <c r="A2" s="7" t="s">
        <v>114</v>
      </c>
      <c r="B2" s="7"/>
      <c r="C2" s="7"/>
      <c r="D2" s="7"/>
    </row>
    <row r="3" customFormat="false" ht="15" hidden="false" customHeight="false" outlineLevel="0" collapsed="false">
      <c r="A3" s="13" t="s">
        <v>115</v>
      </c>
      <c r="B3" s="13"/>
      <c r="C3" s="13"/>
      <c r="D3" s="13"/>
    </row>
    <row r="4" customFormat="false" ht="26.85" hidden="false" customHeight="false" outlineLevel="0" collapsed="false">
      <c r="A4" s="8" t="s">
        <v>116</v>
      </c>
      <c r="B4" s="8" t="s">
        <v>44</v>
      </c>
      <c r="C4" s="8" t="s">
        <v>45</v>
      </c>
      <c r="D4" s="8" t="s">
        <v>47</v>
      </c>
    </row>
    <row r="5" customFormat="false" ht="15" hidden="false" customHeight="false" outlineLevel="0" collapsed="false">
      <c r="A5" s="9" t="s">
        <v>117</v>
      </c>
      <c r="B5" s="9" t="n">
        <v>9445</v>
      </c>
      <c r="C5" s="9" t="n">
        <v>4057</v>
      </c>
      <c r="D5" s="9" t="n">
        <v>42.95</v>
      </c>
    </row>
    <row r="6" customFormat="false" ht="15" hidden="false" customHeight="false" outlineLevel="0" collapsed="false">
      <c r="A6" s="10" t="s">
        <v>118</v>
      </c>
      <c r="B6" s="10" t="n">
        <v>18261</v>
      </c>
      <c r="C6" s="10" t="n">
        <v>8160</v>
      </c>
      <c r="D6" s="10" t="n">
        <v>44.69</v>
      </c>
    </row>
    <row r="7" customFormat="false" ht="15" hidden="false" customHeight="false" outlineLevel="0" collapsed="false">
      <c r="A7" s="9" t="s">
        <v>119</v>
      </c>
      <c r="B7" s="9" t="n">
        <v>26108</v>
      </c>
      <c r="C7" s="9" t="n">
        <v>12274</v>
      </c>
      <c r="D7" s="9" t="n">
        <v>47.01</v>
      </c>
    </row>
    <row r="8" customFormat="false" ht="15" hidden="false" customHeight="false" outlineLevel="0" collapsed="false">
      <c r="A8" s="10" t="s">
        <v>120</v>
      </c>
      <c r="B8" s="10" t="n">
        <v>11518</v>
      </c>
      <c r="C8" s="10" t="n">
        <v>5721</v>
      </c>
      <c r="D8" s="10" t="n">
        <v>49.67</v>
      </c>
    </row>
    <row r="9" customFormat="false" ht="15" hidden="false" customHeight="false" outlineLevel="0" collapsed="false">
      <c r="A9" s="9" t="s">
        <v>121</v>
      </c>
      <c r="B9" s="9" t="n">
        <v>1255</v>
      </c>
      <c r="C9" s="9" t="n">
        <v>552</v>
      </c>
      <c r="D9" s="9" t="n">
        <v>43.98</v>
      </c>
    </row>
    <row r="11" customFormat="false" ht="23.85" hidden="false" customHeight="true" outlineLevel="0" collapsed="false">
      <c r="A11" s="12" t="s">
        <v>122</v>
      </c>
      <c r="B11" s="12"/>
      <c r="C11" s="12"/>
      <c r="D11" s="12"/>
    </row>
    <row r="12" customFormat="false" ht="23.85" hidden="false" customHeight="true" outlineLevel="0" collapsed="false">
      <c r="A12" s="12" t="s">
        <v>123</v>
      </c>
      <c r="B12" s="12"/>
      <c r="C12" s="12"/>
      <c r="D12" s="12"/>
    </row>
  </sheetData>
  <mergeCells count="5">
    <mergeCell ref="A1:D1"/>
    <mergeCell ref="A2:D2"/>
    <mergeCell ref="A3:D3"/>
    <mergeCell ref="A11:D1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30" hidden="false" customHeight="true" outlineLevel="0" collapsed="false">
      <c r="A1" s="6" t="s">
        <v>124</v>
      </c>
      <c r="B1" s="6"/>
      <c r="C1" s="6"/>
      <c r="D1" s="6"/>
      <c r="E1" s="6"/>
    </row>
    <row r="2" customFormat="false" ht="18" hidden="false" customHeight="true" outlineLevel="0" collapsed="false">
      <c r="A2" s="7" t="s">
        <v>125</v>
      </c>
      <c r="B2" s="7"/>
      <c r="C2" s="7"/>
      <c r="D2" s="7"/>
      <c r="E2" s="7"/>
    </row>
    <row r="4" customFormat="false" ht="26.85" hidden="false" customHeight="false" outlineLevel="0" collapsed="false">
      <c r="A4" s="8" t="s">
        <v>126</v>
      </c>
      <c r="B4" s="8" t="s">
        <v>127</v>
      </c>
      <c r="C4" s="8" t="s">
        <v>44</v>
      </c>
      <c r="D4" s="8" t="s">
        <v>45</v>
      </c>
      <c r="E4" s="8" t="s">
        <v>47</v>
      </c>
    </row>
    <row r="5" customFormat="false" ht="15" hidden="false" customHeight="false" outlineLevel="0" collapsed="false">
      <c r="A5" s="9" t="s">
        <v>128</v>
      </c>
      <c r="B5" s="9" t="s">
        <v>129</v>
      </c>
      <c r="C5" s="9" t="n">
        <v>728</v>
      </c>
      <c r="D5" s="9" t="n">
        <v>223</v>
      </c>
      <c r="E5" s="9" t="n">
        <v>30.63</v>
      </c>
    </row>
    <row r="6" customFormat="false" ht="15" hidden="false" customHeight="false" outlineLevel="0" collapsed="false">
      <c r="A6" s="10" t="s">
        <v>128</v>
      </c>
      <c r="B6" s="10" t="s">
        <v>130</v>
      </c>
      <c r="C6" s="10" t="n">
        <v>775</v>
      </c>
      <c r="D6" s="10" t="n">
        <v>244</v>
      </c>
      <c r="E6" s="10" t="n">
        <v>31.48</v>
      </c>
    </row>
    <row r="7" customFormat="false" ht="15" hidden="false" customHeight="false" outlineLevel="0" collapsed="false">
      <c r="A7" s="9" t="s">
        <v>128</v>
      </c>
      <c r="B7" s="9" t="s">
        <v>131</v>
      </c>
      <c r="C7" s="9" t="n">
        <v>1</v>
      </c>
      <c r="D7" s="9" t="n">
        <v>0</v>
      </c>
      <c r="E7" s="9" t="n">
        <v>0</v>
      </c>
    </row>
    <row r="8" customFormat="false" ht="15" hidden="false" customHeight="false" outlineLevel="0" collapsed="false">
      <c r="A8" s="10" t="s">
        <v>132</v>
      </c>
      <c r="B8" s="10" t="s">
        <v>129</v>
      </c>
      <c r="C8" s="10" t="n">
        <v>7565</v>
      </c>
      <c r="D8" s="10" t="n">
        <v>3528</v>
      </c>
      <c r="E8" s="10" t="n">
        <v>46.64</v>
      </c>
    </row>
    <row r="9" customFormat="false" ht="15" hidden="false" customHeight="false" outlineLevel="0" collapsed="false">
      <c r="A9" s="9" t="s">
        <v>132</v>
      </c>
      <c r="B9" s="9" t="s">
        <v>130</v>
      </c>
      <c r="C9" s="9" t="n">
        <v>4841</v>
      </c>
      <c r="D9" s="9" t="n">
        <v>2175</v>
      </c>
      <c r="E9" s="9" t="n">
        <v>44.93</v>
      </c>
    </row>
    <row r="10" customFormat="false" ht="15" hidden="false" customHeight="false" outlineLevel="0" collapsed="false">
      <c r="A10" s="10" t="s">
        <v>133</v>
      </c>
      <c r="B10" s="10" t="s">
        <v>129</v>
      </c>
      <c r="C10" s="10" t="n">
        <v>215</v>
      </c>
      <c r="D10" s="10" t="n">
        <v>90</v>
      </c>
      <c r="E10" s="10" t="n">
        <v>41.86</v>
      </c>
    </row>
    <row r="11" customFormat="false" ht="15" hidden="false" customHeight="false" outlineLevel="0" collapsed="false">
      <c r="A11" s="9" t="s">
        <v>133</v>
      </c>
      <c r="B11" s="9" t="s">
        <v>130</v>
      </c>
      <c r="C11" s="9" t="n">
        <v>193</v>
      </c>
      <c r="D11" s="9" t="n">
        <v>70</v>
      </c>
      <c r="E11" s="9" t="n">
        <v>36.27</v>
      </c>
    </row>
    <row r="12" customFormat="false" ht="15" hidden="false" customHeight="false" outlineLevel="0" collapsed="false">
      <c r="A12" s="10" t="s">
        <v>134</v>
      </c>
      <c r="B12" s="10" t="s">
        <v>129</v>
      </c>
      <c r="C12" s="10" t="n">
        <v>26198</v>
      </c>
      <c r="D12" s="10" t="n">
        <v>12510</v>
      </c>
      <c r="E12" s="10" t="n">
        <v>47.75</v>
      </c>
    </row>
    <row r="13" customFormat="false" ht="15" hidden="false" customHeight="false" outlineLevel="0" collapsed="false">
      <c r="A13" s="9" t="s">
        <v>134</v>
      </c>
      <c r="B13" s="9" t="s">
        <v>130</v>
      </c>
      <c r="C13" s="9" t="n">
        <v>23708</v>
      </c>
      <c r="D13" s="9" t="n">
        <v>10967</v>
      </c>
      <c r="E13" s="9" t="n">
        <v>46.26</v>
      </c>
    </row>
    <row r="14" customFormat="false" ht="15" hidden="false" customHeight="false" outlineLevel="0" collapsed="false">
      <c r="A14" s="10" t="s">
        <v>135</v>
      </c>
      <c r="B14" s="10" t="s">
        <v>129</v>
      </c>
      <c r="C14" s="10" t="n">
        <v>724</v>
      </c>
      <c r="D14" s="10" t="n">
        <v>288</v>
      </c>
      <c r="E14" s="10" t="n">
        <v>39.78</v>
      </c>
    </row>
    <row r="15" customFormat="false" ht="15" hidden="false" customHeight="false" outlineLevel="0" collapsed="false">
      <c r="A15" s="9" t="s">
        <v>135</v>
      </c>
      <c r="B15" s="9" t="s">
        <v>130</v>
      </c>
      <c r="C15" s="9" t="n">
        <v>589</v>
      </c>
      <c r="D15" s="9" t="n">
        <v>247</v>
      </c>
      <c r="E15" s="9" t="n">
        <v>41.94</v>
      </c>
    </row>
    <row r="16" customFormat="false" ht="15" hidden="false" customHeight="false" outlineLevel="0" collapsed="false">
      <c r="A16" s="10" t="s">
        <v>136</v>
      </c>
      <c r="B16" s="10" t="s">
        <v>129</v>
      </c>
      <c r="C16" s="10" t="n">
        <v>543</v>
      </c>
      <c r="D16" s="10" t="n">
        <v>215</v>
      </c>
      <c r="E16" s="10" t="n">
        <v>39.59</v>
      </c>
    </row>
    <row r="17" customFormat="false" ht="15" hidden="false" customHeight="false" outlineLevel="0" collapsed="false">
      <c r="A17" s="9" t="s">
        <v>136</v>
      </c>
      <c r="B17" s="9" t="s">
        <v>130</v>
      </c>
      <c r="C17" s="9" t="n">
        <v>506</v>
      </c>
      <c r="D17" s="9" t="n">
        <v>207</v>
      </c>
      <c r="E17" s="9" t="n">
        <v>40.91</v>
      </c>
    </row>
    <row r="18" customFormat="false" ht="15" hidden="false" customHeight="false" outlineLevel="0" collapsed="false">
      <c r="A18" s="10" t="s">
        <v>136</v>
      </c>
      <c r="B18" s="10" t="s">
        <v>131</v>
      </c>
      <c r="C18" s="10" t="n">
        <v>1</v>
      </c>
      <c r="D18" s="10" t="n">
        <v>0</v>
      </c>
      <c r="E18" s="10" t="n">
        <v>0</v>
      </c>
    </row>
    <row r="20" customFormat="false" ht="23.85" hidden="false" customHeight="true" outlineLevel="0" collapsed="false">
      <c r="A20" s="12" t="s">
        <v>137</v>
      </c>
      <c r="B20" s="12"/>
      <c r="C20" s="12"/>
      <c r="D20" s="12"/>
      <c r="E20" s="12"/>
    </row>
    <row r="21" customFormat="false" ht="23.85" hidden="false" customHeight="true" outlineLevel="0" collapsed="false">
      <c r="A21" s="12" t="s">
        <v>138</v>
      </c>
      <c r="B21" s="12"/>
      <c r="C21" s="12"/>
      <c r="D21" s="12"/>
      <c r="E21" s="12"/>
    </row>
  </sheetData>
  <mergeCells count="4">
    <mergeCell ref="A1:E1"/>
    <mergeCell ref="A2:E2"/>
    <mergeCell ref="A20:E20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22"/>
  </cols>
  <sheetData>
    <row r="1" customFormat="false" ht="30" hidden="false" customHeight="true" outlineLevel="0" collapsed="false">
      <c r="A1" s="6" t="s">
        <v>139</v>
      </c>
      <c r="B1" s="6"/>
      <c r="C1" s="6"/>
      <c r="D1" s="6"/>
    </row>
    <row r="2" customFormat="false" ht="18" hidden="false" customHeight="true" outlineLevel="0" collapsed="false">
      <c r="A2" s="7" t="s">
        <v>140</v>
      </c>
      <c r="B2" s="7"/>
      <c r="C2" s="7"/>
      <c r="D2" s="7"/>
    </row>
    <row r="3" customFormat="false" ht="26.85" hidden="false" customHeight="false" outlineLevel="0" collapsed="false">
      <c r="A3" s="8" t="s">
        <v>141</v>
      </c>
      <c r="B3" s="8" t="s">
        <v>142</v>
      </c>
      <c r="C3" s="8" t="s">
        <v>143</v>
      </c>
    </row>
    <row r="4" customFormat="false" ht="15" hidden="false" customHeight="false" outlineLevel="0" collapsed="false">
      <c r="A4" s="10" t="s">
        <v>144</v>
      </c>
      <c r="B4" s="10" t="n">
        <v>2133</v>
      </c>
      <c r="C4" s="10" t="n">
        <v>3.2</v>
      </c>
    </row>
    <row r="5" customFormat="false" ht="15" hidden="false" customHeight="false" outlineLevel="0" collapsed="false">
      <c r="A5" s="9" t="s">
        <v>145</v>
      </c>
      <c r="B5" s="9" t="n">
        <v>64454</v>
      </c>
      <c r="C5" s="9" t="n">
        <v>96.8</v>
      </c>
    </row>
    <row r="7" customFormat="false" ht="26.85" hidden="false" customHeight="false" outlineLevel="0" collapsed="false">
      <c r="A7" s="8" t="s">
        <v>146</v>
      </c>
      <c r="B7" s="8" t="s">
        <v>44</v>
      </c>
      <c r="C7" s="8" t="s">
        <v>45</v>
      </c>
      <c r="D7" s="8" t="s">
        <v>47</v>
      </c>
    </row>
    <row r="8" customFormat="false" ht="15" hidden="false" customHeight="false" outlineLevel="0" collapsed="false">
      <c r="A8" s="10" t="s">
        <v>147</v>
      </c>
      <c r="B8" s="10" t="n">
        <v>4</v>
      </c>
      <c r="C8" s="10" t="n">
        <v>4</v>
      </c>
      <c r="D8" s="10" t="n">
        <v>100</v>
      </c>
    </row>
    <row r="9" customFormat="false" ht="15" hidden="false" customHeight="false" outlineLevel="0" collapsed="false">
      <c r="A9" s="9" t="s">
        <v>148</v>
      </c>
      <c r="B9" s="9" t="n">
        <v>26</v>
      </c>
      <c r="C9" s="9" t="n">
        <v>21</v>
      </c>
      <c r="D9" s="9" t="n">
        <v>80.77</v>
      </c>
    </row>
    <row r="10" customFormat="false" ht="15" hidden="false" customHeight="false" outlineLevel="0" collapsed="false">
      <c r="A10" s="10" t="s">
        <v>149</v>
      </c>
      <c r="B10" s="10" t="n">
        <v>416</v>
      </c>
      <c r="C10" s="10" t="n">
        <v>244</v>
      </c>
      <c r="D10" s="10" t="n">
        <v>58.65</v>
      </c>
    </row>
    <row r="11" customFormat="false" ht="15" hidden="false" customHeight="false" outlineLevel="0" collapsed="false">
      <c r="A11" s="9" t="s">
        <v>150</v>
      </c>
      <c r="B11" s="9" t="n">
        <v>104</v>
      </c>
      <c r="C11" s="9" t="n">
        <v>51</v>
      </c>
      <c r="D11" s="9" t="n">
        <v>49.04</v>
      </c>
    </row>
    <row r="12" customFormat="false" ht="15" hidden="false" customHeight="false" outlineLevel="0" collapsed="false">
      <c r="A12" s="10" t="s">
        <v>151</v>
      </c>
      <c r="B12" s="10" t="n">
        <v>20</v>
      </c>
      <c r="C12" s="10" t="n">
        <v>5</v>
      </c>
      <c r="D12" s="10" t="n">
        <v>25</v>
      </c>
    </row>
    <row r="13" customFormat="false" ht="15" hidden="false" customHeight="false" outlineLevel="0" collapsed="false">
      <c r="A13" s="9" t="s">
        <v>152</v>
      </c>
      <c r="B13" s="9" t="n">
        <v>8</v>
      </c>
      <c r="C13" s="9" t="n">
        <v>3</v>
      </c>
      <c r="D13" s="9" t="n">
        <v>37.5</v>
      </c>
    </row>
    <row r="14" customFormat="false" ht="15" hidden="false" customHeight="false" outlineLevel="0" collapsed="false">
      <c r="A14" s="10" t="s">
        <v>153</v>
      </c>
      <c r="B14" s="10" t="n">
        <v>52</v>
      </c>
      <c r="C14" s="10" t="n">
        <v>30</v>
      </c>
      <c r="D14" s="10" t="n">
        <v>57.69</v>
      </c>
    </row>
    <row r="15" customFormat="false" ht="15" hidden="false" customHeight="false" outlineLevel="0" collapsed="false">
      <c r="A15" s="9" t="s">
        <v>154</v>
      </c>
      <c r="B15" s="9" t="n">
        <v>603</v>
      </c>
      <c r="C15" s="9" t="n">
        <v>322</v>
      </c>
      <c r="D15" s="9" t="n">
        <v>53.4</v>
      </c>
    </row>
    <row r="16" customFormat="false" ht="15" hidden="false" customHeight="false" outlineLevel="0" collapsed="false">
      <c r="A16" s="10" t="s">
        <v>155</v>
      </c>
      <c r="B16" s="10" t="n">
        <v>900</v>
      </c>
      <c r="C16" s="10" t="n">
        <v>528</v>
      </c>
      <c r="D16" s="10" t="n">
        <v>58.67</v>
      </c>
    </row>
    <row r="18" customFormat="false" ht="23.85" hidden="false" customHeight="true" outlineLevel="0" collapsed="false">
      <c r="A18" s="12" t="s">
        <v>156</v>
      </c>
      <c r="B18" s="12"/>
      <c r="C18" s="12"/>
      <c r="D18" s="12"/>
    </row>
    <row r="19" customFormat="false" ht="23.85" hidden="false" customHeight="true" outlineLevel="0" collapsed="false">
      <c r="A19" s="12" t="s">
        <v>157</v>
      </c>
      <c r="B19" s="12"/>
      <c r="C19" s="12"/>
      <c r="D19" s="12"/>
    </row>
  </sheetData>
  <mergeCells count="4">
    <mergeCell ref="A1:D1"/>
    <mergeCell ref="A2:D2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8"/>
  </cols>
  <sheetData>
    <row r="1" customFormat="false" ht="30" hidden="false" customHeight="true" outlineLevel="0" collapsed="false">
      <c r="A1" s="6" t="s">
        <v>158</v>
      </c>
      <c r="B1" s="6"/>
      <c r="C1" s="6"/>
    </row>
    <row r="2" customFormat="false" ht="18" hidden="false" customHeight="true" outlineLevel="0" collapsed="false">
      <c r="A2" s="7" t="s">
        <v>159</v>
      </c>
      <c r="B2" s="7"/>
      <c r="C2" s="7"/>
    </row>
    <row r="3" customFormat="false" ht="15" hidden="false" customHeight="false" outlineLevel="0" collapsed="false">
      <c r="A3" s="13" t="s">
        <v>160</v>
      </c>
      <c r="B3" s="13"/>
      <c r="C3" s="13"/>
    </row>
    <row r="4" customFormat="false" ht="26.85" hidden="false" customHeight="false" outlineLevel="0" collapsed="false">
      <c r="A4" s="8" t="s">
        <v>161</v>
      </c>
      <c r="B4" s="8" t="s">
        <v>162</v>
      </c>
      <c r="C4" s="8" t="s">
        <v>163</v>
      </c>
    </row>
    <row r="5" customFormat="false" ht="15" hidden="false" customHeight="false" outlineLevel="0" collapsed="false">
      <c r="A5" s="9" t="s">
        <v>164</v>
      </c>
      <c r="B5" s="9" t="n">
        <v>2.87</v>
      </c>
      <c r="C5" s="9" t="n">
        <v>16900</v>
      </c>
    </row>
    <row r="6" customFormat="false" ht="15" hidden="false" customHeight="false" outlineLevel="0" collapsed="false">
      <c r="A6" s="10" t="s">
        <v>165</v>
      </c>
      <c r="B6" s="10" t="n">
        <v>4.22</v>
      </c>
      <c r="C6" s="10" t="n">
        <v>34132</v>
      </c>
    </row>
    <row r="7" customFormat="false" ht="15" hidden="false" customHeight="false" outlineLevel="0" collapsed="false">
      <c r="A7" s="9" t="s">
        <v>166</v>
      </c>
      <c r="B7" s="9" t="n">
        <v>6</v>
      </c>
      <c r="C7" s="9" t="n">
        <v>12128</v>
      </c>
    </row>
    <row r="8" customFormat="false" ht="15" hidden="false" customHeight="false" outlineLevel="0" collapsed="false">
      <c r="A8" s="10" t="s">
        <v>167</v>
      </c>
      <c r="B8" s="10" t="n">
        <v>7.79</v>
      </c>
      <c r="C8" s="10" t="n">
        <v>2545</v>
      </c>
    </row>
    <row r="9" customFormat="false" ht="15" hidden="false" customHeight="false" outlineLevel="0" collapsed="false">
      <c r="A9" s="9" t="s">
        <v>168</v>
      </c>
      <c r="B9" s="9" t="n">
        <v>8.68</v>
      </c>
      <c r="C9" s="9" t="n">
        <v>882</v>
      </c>
    </row>
    <row r="11" customFormat="false" ht="23.85" hidden="false" customHeight="true" outlineLevel="0" collapsed="false">
      <c r="A11" s="12" t="s">
        <v>169</v>
      </c>
      <c r="B11" s="12"/>
      <c r="C11" s="12"/>
    </row>
    <row r="12" customFormat="false" ht="23.85" hidden="false" customHeight="true" outlineLevel="0" collapsed="false">
      <c r="A12" s="12" t="s">
        <v>170</v>
      </c>
      <c r="B12" s="12"/>
      <c r="C12" s="12"/>
    </row>
  </sheetData>
  <mergeCells count="5">
    <mergeCell ref="A1:C1"/>
    <mergeCell ref="A2:C2"/>
    <mergeCell ref="A3:C3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22"/>
  </cols>
  <sheetData>
    <row r="1" customFormat="false" ht="30" hidden="false" customHeight="true" outlineLevel="0" collapsed="false">
      <c r="A1" s="6" t="s">
        <v>171</v>
      </c>
      <c r="B1" s="6"/>
      <c r="C1" s="6"/>
      <c r="D1" s="6"/>
    </row>
    <row r="2" customFormat="false" ht="18" hidden="false" customHeight="true" outlineLevel="0" collapsed="false">
      <c r="A2" s="7" t="s">
        <v>172</v>
      </c>
      <c r="B2" s="7"/>
      <c r="C2" s="7"/>
      <c r="D2" s="7"/>
    </row>
    <row r="3" customFormat="false" ht="15" hidden="false" customHeight="false" outlineLevel="0" collapsed="false">
      <c r="A3" s="13" t="s">
        <v>173</v>
      </c>
      <c r="B3" s="13"/>
      <c r="C3" s="13"/>
      <c r="D3" s="13"/>
    </row>
    <row r="4" customFormat="false" ht="26.85" hidden="false" customHeight="false" outlineLevel="0" collapsed="false">
      <c r="A4" s="8" t="s">
        <v>174</v>
      </c>
      <c r="B4" s="8" t="s">
        <v>44</v>
      </c>
      <c r="C4" s="8" t="s">
        <v>45</v>
      </c>
      <c r="D4" s="8" t="s">
        <v>47</v>
      </c>
    </row>
    <row r="5" customFormat="false" ht="15" hidden="false" customHeight="false" outlineLevel="0" collapsed="false">
      <c r="A5" s="9" t="s">
        <v>90</v>
      </c>
      <c r="B5" s="9" t="n">
        <v>55578</v>
      </c>
      <c r="C5" s="9" t="n">
        <v>24331</v>
      </c>
      <c r="D5" s="9" t="n">
        <v>43.78</v>
      </c>
    </row>
    <row r="6" customFormat="false" ht="15" hidden="false" customHeight="false" outlineLevel="0" collapsed="false">
      <c r="A6" s="10" t="s">
        <v>175</v>
      </c>
      <c r="B6" s="10" t="n">
        <v>8016</v>
      </c>
      <c r="C6" s="10" t="n">
        <v>4682</v>
      </c>
      <c r="D6" s="10" t="n">
        <v>58.41</v>
      </c>
    </row>
    <row r="7" customFormat="false" ht="15" hidden="false" customHeight="false" outlineLevel="0" collapsed="false">
      <c r="A7" s="9" t="s">
        <v>93</v>
      </c>
      <c r="B7" s="9" t="n">
        <v>2405</v>
      </c>
      <c r="C7" s="9" t="n">
        <v>1368</v>
      </c>
      <c r="D7" s="9" t="n">
        <v>56.88</v>
      </c>
    </row>
    <row r="8" customFormat="false" ht="15" hidden="false" customHeight="false" outlineLevel="0" collapsed="false">
      <c r="A8" s="10" t="s">
        <v>176</v>
      </c>
      <c r="B8" s="10" t="n">
        <v>464</v>
      </c>
      <c r="C8" s="10" t="n">
        <v>296</v>
      </c>
      <c r="D8" s="10" t="n">
        <v>63.79</v>
      </c>
    </row>
    <row r="9" customFormat="false" ht="15" hidden="false" customHeight="false" outlineLevel="0" collapsed="false">
      <c r="A9" s="9" t="s">
        <v>177</v>
      </c>
      <c r="B9" s="9" t="n">
        <v>124</v>
      </c>
      <c r="C9" s="9" t="n">
        <v>87</v>
      </c>
      <c r="D9" s="9" t="n">
        <v>70.16</v>
      </c>
    </row>
    <row r="11" customFormat="false" ht="23.85" hidden="false" customHeight="true" outlineLevel="0" collapsed="false">
      <c r="A11" s="12" t="s">
        <v>178</v>
      </c>
      <c r="B11" s="12"/>
      <c r="C11" s="12"/>
      <c r="D11" s="12"/>
    </row>
    <row r="12" customFormat="false" ht="23.85" hidden="false" customHeight="true" outlineLevel="0" collapsed="false">
      <c r="A12" s="12" t="s">
        <v>179</v>
      </c>
      <c r="B12" s="12"/>
      <c r="C12" s="12"/>
      <c r="D12" s="12"/>
    </row>
  </sheetData>
  <mergeCells count="5">
    <mergeCell ref="A1:D1"/>
    <mergeCell ref="A2:D2"/>
    <mergeCell ref="A3:D3"/>
    <mergeCell ref="A11:D1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30" hidden="false" customHeight="true" outlineLevel="0" collapsed="false">
      <c r="A1" s="6" t="s">
        <v>180</v>
      </c>
      <c r="B1" s="6"/>
      <c r="C1" s="6"/>
      <c r="D1" s="6"/>
    </row>
    <row r="2" customFormat="false" ht="18" hidden="false" customHeight="true" outlineLevel="0" collapsed="false">
      <c r="A2" s="7" t="s">
        <v>181</v>
      </c>
      <c r="B2" s="7"/>
      <c r="C2" s="7"/>
      <c r="D2" s="7"/>
    </row>
    <row r="4" customFormat="false" ht="26.85" hidden="false" customHeight="false" outlineLevel="0" collapsed="false">
      <c r="A4" s="8" t="s">
        <v>182</v>
      </c>
      <c r="B4" s="8" t="s">
        <v>183</v>
      </c>
      <c r="C4" s="8" t="s">
        <v>142</v>
      </c>
      <c r="D4" s="8" t="s">
        <v>47</v>
      </c>
    </row>
    <row r="5" customFormat="false" ht="15" hidden="false" customHeight="false" outlineLevel="0" collapsed="false">
      <c r="A5" s="9" t="n">
        <v>1</v>
      </c>
      <c r="B5" s="9" t="n">
        <v>2.41</v>
      </c>
      <c r="C5" s="9" t="n">
        <v>134</v>
      </c>
      <c r="D5" s="9" t="n">
        <v>25.37</v>
      </c>
    </row>
    <row r="6" customFormat="false" ht="15" hidden="false" customHeight="false" outlineLevel="0" collapsed="false">
      <c r="A6" s="10" t="n">
        <v>2</v>
      </c>
      <c r="B6" s="10" t="n">
        <v>2.63</v>
      </c>
      <c r="C6" s="10" t="n">
        <v>693</v>
      </c>
      <c r="D6" s="10" t="n">
        <v>30.74</v>
      </c>
    </row>
    <row r="7" customFormat="false" ht="15" hidden="false" customHeight="false" outlineLevel="0" collapsed="false">
      <c r="A7" s="9" t="n">
        <v>3</v>
      </c>
      <c r="B7" s="9" t="n">
        <v>2.84</v>
      </c>
      <c r="C7" s="9" t="n">
        <v>1837</v>
      </c>
      <c r="D7" s="9" t="n">
        <v>35.93</v>
      </c>
    </row>
    <row r="8" customFormat="false" ht="15" hidden="false" customHeight="false" outlineLevel="0" collapsed="false">
      <c r="A8" s="10" t="n">
        <v>4</v>
      </c>
      <c r="B8" s="10" t="n">
        <v>3.2</v>
      </c>
      <c r="C8" s="10" t="n">
        <v>3592</v>
      </c>
      <c r="D8" s="10" t="n">
        <v>36.8</v>
      </c>
    </row>
    <row r="9" customFormat="false" ht="15" hidden="false" customHeight="false" outlineLevel="0" collapsed="false">
      <c r="A9" s="9" t="n">
        <v>5</v>
      </c>
      <c r="B9" s="9" t="n">
        <v>3.84</v>
      </c>
      <c r="C9" s="9" t="n">
        <v>7509</v>
      </c>
      <c r="D9" s="9" t="n">
        <v>36.88</v>
      </c>
    </row>
    <row r="10" customFormat="false" ht="15" hidden="false" customHeight="false" outlineLevel="0" collapsed="false">
      <c r="A10" s="10" t="n">
        <v>6</v>
      </c>
      <c r="B10" s="10" t="n">
        <v>3.86</v>
      </c>
      <c r="C10" s="10" t="n">
        <v>6633</v>
      </c>
      <c r="D10" s="10" t="n">
        <v>44.37</v>
      </c>
    </row>
    <row r="11" customFormat="false" ht="15" hidden="false" customHeight="false" outlineLevel="0" collapsed="false">
      <c r="A11" s="9" t="n">
        <v>7</v>
      </c>
      <c r="B11" s="9" t="n">
        <v>3.96</v>
      </c>
      <c r="C11" s="9" t="n">
        <v>6712</v>
      </c>
      <c r="D11" s="9" t="n">
        <v>46.36</v>
      </c>
    </row>
    <row r="12" customFormat="false" ht="15" hidden="false" customHeight="false" outlineLevel="0" collapsed="false">
      <c r="A12" s="10" t="n">
        <v>8</v>
      </c>
      <c r="B12" s="10" t="n">
        <v>4.37</v>
      </c>
      <c r="C12" s="10" t="n">
        <v>6950</v>
      </c>
      <c r="D12" s="10" t="n">
        <v>46.92</v>
      </c>
    </row>
    <row r="13" customFormat="false" ht="15" hidden="false" customHeight="false" outlineLevel="0" collapsed="false">
      <c r="A13" s="9" t="n">
        <v>9</v>
      </c>
      <c r="B13" s="9" t="n">
        <v>5</v>
      </c>
      <c r="C13" s="9" t="n">
        <v>32450</v>
      </c>
      <c r="D13" s="9" t="n">
        <v>50.58</v>
      </c>
    </row>
    <row r="14" customFormat="false" ht="15" hidden="false" customHeight="false" outlineLevel="0" collapsed="false">
      <c r="A14" s="10" t="n">
        <v>10</v>
      </c>
      <c r="B14" s="10" t="n">
        <v>4.94</v>
      </c>
      <c r="C14" s="10" t="n">
        <v>16</v>
      </c>
      <c r="D14" s="10" t="n">
        <v>50</v>
      </c>
    </row>
    <row r="15" customFormat="false" ht="15" hidden="false" customHeight="false" outlineLevel="0" collapsed="false">
      <c r="A15" s="9" t="n">
        <v>11</v>
      </c>
      <c r="B15" s="9" t="n">
        <v>4.29</v>
      </c>
      <c r="C15" s="9" t="n">
        <v>7</v>
      </c>
      <c r="D15" s="9" t="n">
        <v>57.14</v>
      </c>
    </row>
    <row r="16" customFormat="false" ht="15" hidden="false" customHeight="false" outlineLevel="0" collapsed="false">
      <c r="A16" s="10" t="n">
        <v>12</v>
      </c>
      <c r="B16" s="10" t="n">
        <v>2.75</v>
      </c>
      <c r="C16" s="10" t="n">
        <v>4</v>
      </c>
      <c r="D16" s="10" t="n">
        <v>25</v>
      </c>
    </row>
    <row r="17" customFormat="false" ht="15" hidden="false" customHeight="false" outlineLevel="0" collapsed="false">
      <c r="A17" s="9" t="n">
        <v>13</v>
      </c>
      <c r="B17" s="9" t="n">
        <v>5.07</v>
      </c>
      <c r="C17" s="9" t="n">
        <v>14</v>
      </c>
      <c r="D17" s="9" t="n">
        <v>78.57</v>
      </c>
    </row>
    <row r="18" customFormat="false" ht="15" hidden="false" customHeight="false" outlineLevel="0" collapsed="false">
      <c r="A18" s="10" t="n">
        <v>14</v>
      </c>
      <c r="B18" s="10" t="n">
        <v>11.5</v>
      </c>
      <c r="C18" s="10" t="n">
        <v>6</v>
      </c>
      <c r="D18" s="10" t="n">
        <v>83.33</v>
      </c>
    </row>
    <row r="19" customFormat="false" ht="15" hidden="false" customHeight="false" outlineLevel="0" collapsed="false">
      <c r="A19" s="9" t="n">
        <v>15</v>
      </c>
      <c r="B19" s="9" t="n">
        <v>4.5</v>
      </c>
      <c r="C19" s="9" t="n">
        <v>2</v>
      </c>
      <c r="D19" s="9" t="n">
        <v>0</v>
      </c>
    </row>
    <row r="20" customFormat="false" ht="15" hidden="false" customHeight="false" outlineLevel="0" collapsed="false">
      <c r="A20" s="10" t="n">
        <v>16</v>
      </c>
      <c r="B20" s="10" t="n">
        <v>6.18</v>
      </c>
      <c r="C20" s="10" t="n">
        <v>28</v>
      </c>
      <c r="D20" s="10" t="n">
        <v>32.14</v>
      </c>
    </row>
    <row r="22" customFormat="false" ht="23.85" hidden="false" customHeight="true" outlineLevel="0" collapsed="false">
      <c r="A22" s="12" t="s">
        <v>184</v>
      </c>
      <c r="B22" s="12"/>
      <c r="C22" s="12"/>
      <c r="D22" s="12"/>
    </row>
    <row r="23" customFormat="false" ht="23.85" hidden="false" customHeight="true" outlineLevel="0" collapsed="false">
      <c r="A23" s="12" t="s">
        <v>185</v>
      </c>
      <c r="B23" s="12"/>
      <c r="C23" s="12"/>
      <c r="D23" s="12"/>
    </row>
  </sheetData>
  <mergeCells count="4">
    <mergeCell ref="A1:D1"/>
    <mergeCell ref="A2:D2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6" t="s">
        <v>186</v>
      </c>
      <c r="B1" s="6"/>
      <c r="C1" s="6"/>
      <c r="D1" s="6"/>
      <c r="E1" s="6"/>
      <c r="F1" s="6"/>
    </row>
    <row r="2" customFormat="false" ht="18" hidden="false" customHeight="true" outlineLevel="0" collapsed="false">
      <c r="A2" s="7" t="s">
        <v>187</v>
      </c>
      <c r="B2" s="7"/>
      <c r="C2" s="7"/>
      <c r="D2" s="7"/>
      <c r="E2" s="7"/>
      <c r="F2" s="7"/>
    </row>
    <row r="4" customFormat="false" ht="26.85" hidden="false" customHeight="false" outlineLevel="0" collapsed="false">
      <c r="A4" s="8" t="s">
        <v>126</v>
      </c>
      <c r="B4" s="8" t="s">
        <v>188</v>
      </c>
      <c r="C4" s="8" t="s">
        <v>189</v>
      </c>
      <c r="D4" s="8" t="s">
        <v>190</v>
      </c>
      <c r="E4" s="8" t="s">
        <v>142</v>
      </c>
      <c r="F4" s="8" t="s">
        <v>47</v>
      </c>
    </row>
    <row r="5" customFormat="false" ht="15" hidden="false" customHeight="false" outlineLevel="0" collapsed="false">
      <c r="A5" s="9" t="s">
        <v>128</v>
      </c>
      <c r="B5" s="9" t="n">
        <v>44.52</v>
      </c>
      <c r="C5" s="9" t="n">
        <v>16.05</v>
      </c>
      <c r="D5" s="9" t="n">
        <v>1.27</v>
      </c>
      <c r="E5" s="9" t="n">
        <v>1504</v>
      </c>
      <c r="F5" s="9" t="n">
        <v>31.05</v>
      </c>
    </row>
    <row r="6" customFormat="false" ht="15" hidden="false" customHeight="false" outlineLevel="0" collapsed="false">
      <c r="A6" s="10" t="s">
        <v>132</v>
      </c>
      <c r="B6" s="10" t="n">
        <v>44.11</v>
      </c>
      <c r="C6" s="10" t="n">
        <v>15.39</v>
      </c>
      <c r="D6" s="10" t="n">
        <v>1.23</v>
      </c>
      <c r="E6" s="10" t="n">
        <v>12406</v>
      </c>
      <c r="F6" s="10" t="n">
        <v>45.97</v>
      </c>
    </row>
    <row r="7" customFormat="false" ht="15" hidden="false" customHeight="false" outlineLevel="0" collapsed="false">
      <c r="A7" s="9" t="s">
        <v>133</v>
      </c>
      <c r="B7" s="9" t="n">
        <v>41.37</v>
      </c>
      <c r="C7" s="9" t="n">
        <v>13.18</v>
      </c>
      <c r="D7" s="9" t="n">
        <v>1.32</v>
      </c>
      <c r="E7" s="9" t="n">
        <v>408</v>
      </c>
      <c r="F7" s="9" t="n">
        <v>39.22</v>
      </c>
    </row>
    <row r="8" customFormat="false" ht="15" hidden="false" customHeight="false" outlineLevel="0" collapsed="false">
      <c r="A8" s="10" t="s">
        <v>134</v>
      </c>
      <c r="B8" s="10" t="n">
        <v>42.86</v>
      </c>
      <c r="C8" s="10" t="n">
        <v>16.28</v>
      </c>
      <c r="D8" s="10" t="n">
        <v>1.36</v>
      </c>
      <c r="E8" s="10" t="n">
        <v>49906</v>
      </c>
      <c r="F8" s="10" t="n">
        <v>47.04</v>
      </c>
    </row>
    <row r="9" customFormat="false" ht="15" hidden="false" customHeight="false" outlineLevel="0" collapsed="false">
      <c r="A9" s="9" t="s">
        <v>135</v>
      </c>
      <c r="B9" s="9" t="n">
        <v>41.73</v>
      </c>
      <c r="C9" s="9" t="n">
        <v>14.05</v>
      </c>
      <c r="D9" s="9" t="n">
        <v>1.08</v>
      </c>
      <c r="E9" s="9" t="n">
        <v>1313</v>
      </c>
      <c r="F9" s="9" t="n">
        <v>40.75</v>
      </c>
    </row>
    <row r="10" customFormat="false" ht="15" hidden="false" customHeight="false" outlineLevel="0" collapsed="false">
      <c r="A10" s="10" t="s">
        <v>136</v>
      </c>
      <c r="B10" s="10" t="n">
        <v>43.83</v>
      </c>
      <c r="C10" s="10" t="n">
        <v>15.32</v>
      </c>
      <c r="D10" s="10" t="n">
        <v>1.51</v>
      </c>
      <c r="E10" s="10" t="n">
        <v>1050</v>
      </c>
      <c r="F10" s="10" t="n">
        <v>40.19</v>
      </c>
    </row>
    <row r="12" customFormat="false" ht="23.85" hidden="false" customHeight="true" outlineLevel="0" collapsed="false">
      <c r="A12" s="12" t="s">
        <v>191</v>
      </c>
      <c r="B12" s="12"/>
      <c r="C12" s="12"/>
      <c r="D12" s="12"/>
      <c r="E12" s="12"/>
      <c r="F12" s="12"/>
    </row>
    <row r="13" customFormat="false" ht="23.85" hidden="false" customHeight="true" outlineLevel="0" collapsed="false">
      <c r="A13" s="12" t="s">
        <v>192</v>
      </c>
      <c r="B13" s="12"/>
      <c r="C13" s="12"/>
      <c r="D13" s="12"/>
      <c r="E13" s="12"/>
      <c r="F13" s="12"/>
    </row>
  </sheetData>
  <mergeCells count="4">
    <mergeCell ref="A1:F1"/>
    <mergeCell ref="A2:F2"/>
    <mergeCell ref="A12:F1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8"/>
    <col collapsed="false" customWidth="true" hidden="false" outlineLevel="0" max="5" min="5" style="0" width="14"/>
  </cols>
  <sheetData>
    <row r="1" customFormat="false" ht="30" hidden="false" customHeight="true" outlineLevel="0" collapsed="false">
      <c r="A1" s="6" t="s">
        <v>193</v>
      </c>
      <c r="B1" s="6"/>
      <c r="C1" s="6"/>
      <c r="D1" s="6"/>
      <c r="E1" s="6"/>
    </row>
    <row r="2" customFormat="false" ht="18" hidden="false" customHeight="true" outlineLevel="0" collapsed="false">
      <c r="A2" s="7" t="s">
        <v>194</v>
      </c>
      <c r="B2" s="7"/>
      <c r="C2" s="7"/>
      <c r="D2" s="7"/>
      <c r="E2" s="7"/>
    </row>
    <row r="4" customFormat="false" ht="15" hidden="false" customHeight="false" outlineLevel="0" collapsed="false">
      <c r="A4" s="8" t="s">
        <v>195</v>
      </c>
      <c r="B4" s="8" t="s">
        <v>196</v>
      </c>
      <c r="C4" s="8" t="s">
        <v>197</v>
      </c>
      <c r="D4" s="8" t="s">
        <v>198</v>
      </c>
      <c r="E4" s="8" t="s">
        <v>142</v>
      </c>
    </row>
    <row r="5" customFormat="false" ht="15" hidden="false" customHeight="false" outlineLevel="0" collapsed="false">
      <c r="A5" s="9" t="s">
        <v>199</v>
      </c>
      <c r="B5" s="9" t="n">
        <v>0.95</v>
      </c>
      <c r="C5" s="9" t="n">
        <v>0.44</v>
      </c>
      <c r="D5" s="9" t="n">
        <v>0.18</v>
      </c>
      <c r="E5" s="9" t="n">
        <v>4564</v>
      </c>
    </row>
    <row r="6" customFormat="false" ht="15" hidden="false" customHeight="false" outlineLevel="0" collapsed="false">
      <c r="A6" s="10" t="s">
        <v>200</v>
      </c>
      <c r="B6" s="10" t="n">
        <v>0.36</v>
      </c>
      <c r="C6" s="10" t="n">
        <v>0.21</v>
      </c>
      <c r="D6" s="10" t="n">
        <v>0.07</v>
      </c>
      <c r="E6" s="10" t="n">
        <v>4183</v>
      </c>
    </row>
    <row r="7" customFormat="false" ht="15" hidden="false" customHeight="false" outlineLevel="0" collapsed="false">
      <c r="A7" s="9" t="s">
        <v>201</v>
      </c>
      <c r="B7" s="9" t="n">
        <v>0.47</v>
      </c>
      <c r="C7" s="9" t="n">
        <v>0.27</v>
      </c>
      <c r="D7" s="9" t="n">
        <v>0.22</v>
      </c>
      <c r="E7" s="9" t="n">
        <v>2659</v>
      </c>
    </row>
    <row r="8" customFormat="false" ht="15" hidden="false" customHeight="false" outlineLevel="0" collapsed="false">
      <c r="A8" s="10" t="s">
        <v>202</v>
      </c>
      <c r="B8" s="10" t="n">
        <v>0.35</v>
      </c>
      <c r="C8" s="10" t="n">
        <v>0.25</v>
      </c>
      <c r="D8" s="10" t="n">
        <v>0.08</v>
      </c>
      <c r="E8" s="10" t="n">
        <v>2382</v>
      </c>
    </row>
    <row r="9" customFormat="false" ht="15" hidden="false" customHeight="false" outlineLevel="0" collapsed="false">
      <c r="A9" s="9" t="s">
        <v>203</v>
      </c>
      <c r="B9" s="9" t="n">
        <v>0.59</v>
      </c>
      <c r="C9" s="9" t="n">
        <v>0.42</v>
      </c>
      <c r="D9" s="9" t="n">
        <v>0.17</v>
      </c>
      <c r="E9" s="9" t="n">
        <v>2233</v>
      </c>
    </row>
    <row r="10" customFormat="false" ht="15" hidden="false" customHeight="false" outlineLevel="0" collapsed="false">
      <c r="A10" s="10" t="s">
        <v>204</v>
      </c>
      <c r="B10" s="10" t="n">
        <v>0.45</v>
      </c>
      <c r="C10" s="10" t="n">
        <v>0.4</v>
      </c>
      <c r="D10" s="10" t="n">
        <v>0.12</v>
      </c>
      <c r="E10" s="10" t="n">
        <v>1787</v>
      </c>
    </row>
    <row r="11" customFormat="false" ht="15" hidden="false" customHeight="false" outlineLevel="0" collapsed="false">
      <c r="A11" s="9" t="s">
        <v>205</v>
      </c>
      <c r="B11" s="9" t="n">
        <v>0.99</v>
      </c>
      <c r="C11" s="9" t="n">
        <v>0.51</v>
      </c>
      <c r="D11" s="9" t="n">
        <v>0.31</v>
      </c>
      <c r="E11" s="9" t="n">
        <v>1555</v>
      </c>
    </row>
    <row r="12" customFormat="false" ht="15" hidden="false" customHeight="false" outlineLevel="0" collapsed="false">
      <c r="A12" s="10" t="s">
        <v>206</v>
      </c>
      <c r="B12" s="10" t="n">
        <v>0.15</v>
      </c>
      <c r="C12" s="10" t="n">
        <v>0.44</v>
      </c>
      <c r="D12" s="10" t="n">
        <v>0.07</v>
      </c>
      <c r="E12" s="10" t="n">
        <v>1426</v>
      </c>
    </row>
    <row r="13" customFormat="false" ht="15" hidden="false" customHeight="false" outlineLevel="0" collapsed="false">
      <c r="A13" s="9" t="s">
        <v>207</v>
      </c>
      <c r="B13" s="9" t="n">
        <v>0.54</v>
      </c>
      <c r="C13" s="9" t="n">
        <v>0.39</v>
      </c>
      <c r="D13" s="9" t="n">
        <v>0.26</v>
      </c>
      <c r="E13" s="9" t="n">
        <v>1371</v>
      </c>
    </row>
    <row r="14" customFormat="false" ht="15" hidden="false" customHeight="false" outlineLevel="0" collapsed="false">
      <c r="A14" s="10" t="s">
        <v>208</v>
      </c>
      <c r="B14" s="10" t="n">
        <v>0.62</v>
      </c>
      <c r="C14" s="10" t="n">
        <v>0.35</v>
      </c>
      <c r="D14" s="10" t="n">
        <v>0.22</v>
      </c>
      <c r="E14" s="10" t="n">
        <v>1362</v>
      </c>
    </row>
    <row r="15" customFormat="false" ht="15" hidden="false" customHeight="false" outlineLevel="0" collapsed="false">
      <c r="A15" s="9" t="s">
        <v>209</v>
      </c>
      <c r="B15" s="9" t="n">
        <v>0.4</v>
      </c>
      <c r="C15" s="9" t="n">
        <v>0.22</v>
      </c>
      <c r="D15" s="9" t="n">
        <v>0.12</v>
      </c>
      <c r="E15" s="9" t="n">
        <v>1336</v>
      </c>
    </row>
    <row r="16" customFormat="false" ht="15" hidden="false" customHeight="false" outlineLevel="0" collapsed="false">
      <c r="A16" s="10" t="s">
        <v>210</v>
      </c>
      <c r="B16" s="10" t="n">
        <v>1.01</v>
      </c>
      <c r="C16" s="10" t="n">
        <v>0.37</v>
      </c>
      <c r="D16" s="10" t="n">
        <v>0.21</v>
      </c>
      <c r="E16" s="10" t="n">
        <v>1265</v>
      </c>
    </row>
    <row r="17" customFormat="false" ht="15" hidden="false" customHeight="false" outlineLevel="0" collapsed="false">
      <c r="A17" s="9" t="s">
        <v>211</v>
      </c>
      <c r="B17" s="9" t="n">
        <v>0.73</v>
      </c>
      <c r="C17" s="9" t="n">
        <v>0.31</v>
      </c>
      <c r="D17" s="9" t="n">
        <v>0.26</v>
      </c>
      <c r="E17" s="9" t="n">
        <v>1243</v>
      </c>
    </row>
    <row r="18" customFormat="false" ht="15" hidden="false" customHeight="false" outlineLevel="0" collapsed="false">
      <c r="A18" s="10" t="s">
        <v>212</v>
      </c>
      <c r="B18" s="10" t="n">
        <v>0.75</v>
      </c>
      <c r="C18" s="10" t="n">
        <v>0.41</v>
      </c>
      <c r="D18" s="10" t="n">
        <v>0.15</v>
      </c>
      <c r="E18" s="10" t="n">
        <v>1121</v>
      </c>
    </row>
    <row r="19" customFormat="false" ht="15" hidden="false" customHeight="false" outlineLevel="0" collapsed="false">
      <c r="A19" s="9" t="s">
        <v>213</v>
      </c>
      <c r="B19" s="9" t="n">
        <v>0.74</v>
      </c>
      <c r="C19" s="9" t="n">
        <v>0.54</v>
      </c>
      <c r="D19" s="9" t="n">
        <v>0.31</v>
      </c>
      <c r="E19" s="9" t="n">
        <v>1063</v>
      </c>
    </row>
    <row r="20" customFormat="false" ht="15" hidden="false" customHeight="false" outlineLevel="0" collapsed="false">
      <c r="A20" s="10" t="s">
        <v>214</v>
      </c>
      <c r="B20" s="10" t="n">
        <v>0.72</v>
      </c>
      <c r="C20" s="10" t="n">
        <v>0.6</v>
      </c>
      <c r="D20" s="10" t="n">
        <v>0.26</v>
      </c>
      <c r="E20" s="10" t="n">
        <v>983</v>
      </c>
    </row>
    <row r="21" customFormat="false" ht="15" hidden="false" customHeight="false" outlineLevel="0" collapsed="false">
      <c r="A21" s="9" t="s">
        <v>215</v>
      </c>
      <c r="B21" s="9" t="n">
        <v>0.72</v>
      </c>
      <c r="C21" s="9" t="n">
        <v>0.38</v>
      </c>
      <c r="D21" s="9" t="n">
        <v>0.23</v>
      </c>
      <c r="E21" s="9" t="n">
        <v>982</v>
      </c>
    </row>
    <row r="22" customFormat="false" ht="15" hidden="false" customHeight="false" outlineLevel="0" collapsed="false">
      <c r="A22" s="10" t="s">
        <v>216</v>
      </c>
      <c r="B22" s="10" t="n">
        <v>1.17</v>
      </c>
      <c r="C22" s="10" t="n">
        <v>0.24</v>
      </c>
      <c r="D22" s="10" t="n">
        <v>0.08</v>
      </c>
      <c r="E22" s="10" t="n">
        <v>771</v>
      </c>
    </row>
    <row r="23" customFormat="false" ht="15" hidden="false" customHeight="false" outlineLevel="0" collapsed="false">
      <c r="A23" s="9" t="s">
        <v>217</v>
      </c>
      <c r="B23" s="9" t="n">
        <v>0.33</v>
      </c>
      <c r="C23" s="9" t="n">
        <v>0.23</v>
      </c>
      <c r="D23" s="9" t="n">
        <v>0.08</v>
      </c>
      <c r="E23" s="9" t="n">
        <v>757</v>
      </c>
    </row>
    <row r="24" customFormat="false" ht="15" hidden="false" customHeight="false" outlineLevel="0" collapsed="false">
      <c r="A24" s="10" t="s">
        <v>218</v>
      </c>
      <c r="B24" s="10" t="n">
        <v>1.29</v>
      </c>
      <c r="C24" s="10" t="n">
        <v>0.57</v>
      </c>
      <c r="D24" s="10" t="n">
        <v>0.41</v>
      </c>
      <c r="E24" s="10" t="n">
        <v>737</v>
      </c>
    </row>
    <row r="26" customFormat="false" ht="23.85" hidden="false" customHeight="true" outlineLevel="0" collapsed="false">
      <c r="A26" s="12" t="s">
        <v>219</v>
      </c>
      <c r="B26" s="12"/>
      <c r="C26" s="12"/>
      <c r="D26" s="12"/>
      <c r="E26" s="12"/>
    </row>
    <row r="27" customFormat="false" ht="23.85" hidden="false" customHeight="true" outlineLevel="0" collapsed="false">
      <c r="A27" s="12" t="s">
        <v>220</v>
      </c>
      <c r="B27" s="12"/>
      <c r="C27" s="12"/>
      <c r="D27" s="12"/>
      <c r="E27" s="12"/>
    </row>
  </sheetData>
  <mergeCells count="4">
    <mergeCell ref="A1:E1"/>
    <mergeCell ref="A2:E2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30" hidden="false" customHeight="true" outlineLevel="0" collapsed="false">
      <c r="A1" s="6" t="s">
        <v>221</v>
      </c>
      <c r="B1" s="6"/>
      <c r="C1" s="6"/>
      <c r="D1" s="6"/>
    </row>
    <row r="2" customFormat="false" ht="18" hidden="false" customHeight="true" outlineLevel="0" collapsed="false">
      <c r="A2" s="7" t="s">
        <v>222</v>
      </c>
      <c r="B2" s="7"/>
      <c r="C2" s="7"/>
      <c r="D2" s="7"/>
    </row>
    <row r="4" customFormat="false" ht="26.85" hidden="false" customHeight="false" outlineLevel="0" collapsed="false">
      <c r="A4" s="8" t="s">
        <v>62</v>
      </c>
      <c r="B4" s="8" t="s">
        <v>223</v>
      </c>
      <c r="C4" s="8" t="s">
        <v>63</v>
      </c>
      <c r="D4" s="8" t="s">
        <v>47</v>
      </c>
    </row>
    <row r="5" customFormat="false" ht="15" hidden="false" customHeight="false" outlineLevel="0" collapsed="false">
      <c r="A5" s="9" t="s">
        <v>128</v>
      </c>
      <c r="B5" s="9" t="n">
        <v>16.36</v>
      </c>
      <c r="C5" s="9" t="n">
        <v>4.4</v>
      </c>
      <c r="D5" s="9" t="n">
        <v>47.97</v>
      </c>
    </row>
    <row r="6" customFormat="false" ht="15" hidden="false" customHeight="false" outlineLevel="0" collapsed="false">
      <c r="A6" s="10" t="s">
        <v>224</v>
      </c>
      <c r="B6" s="10" t="n">
        <v>17.12</v>
      </c>
      <c r="C6" s="10" t="n">
        <v>3.6</v>
      </c>
      <c r="D6" s="10" t="n">
        <v>43.36</v>
      </c>
    </row>
    <row r="7" customFormat="false" ht="15" hidden="false" customHeight="false" outlineLevel="0" collapsed="false">
      <c r="A7" s="9" t="s">
        <v>225</v>
      </c>
      <c r="B7" s="9" t="n">
        <v>14.25</v>
      </c>
      <c r="C7" s="9" t="n">
        <v>4.32</v>
      </c>
      <c r="D7" s="9" t="n">
        <v>50.2</v>
      </c>
    </row>
    <row r="8" customFormat="false" ht="15" hidden="false" customHeight="false" outlineLevel="0" collapsed="false">
      <c r="A8" s="10" t="s">
        <v>226</v>
      </c>
      <c r="B8" s="10" t="n">
        <v>14.43</v>
      </c>
      <c r="C8" s="10" t="n">
        <v>4.44</v>
      </c>
      <c r="D8" s="10" t="n">
        <v>47.99</v>
      </c>
    </row>
    <row r="9" customFormat="false" ht="15" hidden="false" customHeight="false" outlineLevel="0" collapsed="false">
      <c r="A9" s="9" t="s">
        <v>227</v>
      </c>
      <c r="B9" s="9" t="n">
        <v>14.7</v>
      </c>
      <c r="C9" s="9" t="n">
        <v>4.57</v>
      </c>
      <c r="D9" s="9" t="n">
        <v>44.22</v>
      </c>
    </row>
    <row r="10" customFormat="false" ht="15" hidden="false" customHeight="false" outlineLevel="0" collapsed="false">
      <c r="A10" s="10" t="s">
        <v>228</v>
      </c>
      <c r="B10" s="10" t="n">
        <v>17.46</v>
      </c>
      <c r="C10" s="10" t="n">
        <v>4.79</v>
      </c>
      <c r="D10" s="10" t="n">
        <v>55.1</v>
      </c>
    </row>
    <row r="11" customFormat="false" ht="15" hidden="false" customHeight="false" outlineLevel="0" collapsed="false">
      <c r="A11" s="9" t="s">
        <v>229</v>
      </c>
      <c r="B11" s="9" t="n">
        <v>20.8</v>
      </c>
      <c r="C11" s="9" t="n">
        <v>3.97</v>
      </c>
      <c r="D11" s="9" t="n">
        <v>33.44</v>
      </c>
    </row>
    <row r="12" customFormat="false" ht="15" hidden="false" customHeight="false" outlineLevel="0" collapsed="false">
      <c r="A12" s="10" t="s">
        <v>230</v>
      </c>
      <c r="B12" s="10" t="n">
        <v>20.25</v>
      </c>
      <c r="C12" s="10" t="n">
        <v>3.95</v>
      </c>
      <c r="D12" s="10" t="n">
        <v>30.17</v>
      </c>
    </row>
    <row r="13" customFormat="false" ht="15" hidden="false" customHeight="false" outlineLevel="0" collapsed="false">
      <c r="A13" s="9" t="s">
        <v>231</v>
      </c>
      <c r="B13" s="9" t="n">
        <v>19.04</v>
      </c>
      <c r="C13" s="9" t="n">
        <v>3.49</v>
      </c>
      <c r="D13" s="9" t="n">
        <v>44.2</v>
      </c>
    </row>
    <row r="14" customFormat="false" ht="15" hidden="false" customHeight="false" outlineLevel="0" collapsed="false">
      <c r="A14" s="10" t="s">
        <v>232</v>
      </c>
      <c r="B14" s="10" t="n">
        <v>16.74</v>
      </c>
      <c r="C14" s="10" t="n">
        <v>4.52</v>
      </c>
      <c r="D14" s="10" t="n">
        <v>43.44</v>
      </c>
    </row>
    <row r="16" customFormat="false" ht="23.85" hidden="false" customHeight="true" outlineLevel="0" collapsed="false">
      <c r="A16" s="12" t="s">
        <v>233</v>
      </c>
      <c r="B16" s="12"/>
      <c r="C16" s="12"/>
      <c r="D16" s="12"/>
    </row>
    <row r="17" customFormat="false" ht="23.85" hidden="false" customHeight="true" outlineLevel="0" collapsed="false">
      <c r="A17" s="12" t="s">
        <v>234</v>
      </c>
      <c r="B17" s="12"/>
      <c r="C17" s="12"/>
      <c r="D17" s="12"/>
    </row>
  </sheetData>
  <mergeCells count="4">
    <mergeCell ref="A1:D1"/>
    <mergeCell ref="A2:D2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22"/>
  </cols>
  <sheetData>
    <row r="1" customFormat="false" ht="30" hidden="false" customHeight="true" outlineLevel="0" collapsed="false">
      <c r="A1" s="6" t="s">
        <v>235</v>
      </c>
      <c r="B1" s="6"/>
      <c r="C1" s="6"/>
      <c r="D1" s="6"/>
      <c r="E1" s="6"/>
    </row>
    <row r="2" customFormat="false" ht="18" hidden="false" customHeight="true" outlineLevel="0" collapsed="false">
      <c r="A2" s="7" t="s">
        <v>236</v>
      </c>
      <c r="B2" s="7"/>
      <c r="C2" s="7"/>
      <c r="D2" s="7"/>
      <c r="E2" s="7"/>
    </row>
    <row r="4" customFormat="false" ht="26.85" hidden="false" customHeight="false" outlineLevel="0" collapsed="false">
      <c r="A4" s="8" t="s">
        <v>127</v>
      </c>
      <c r="B4" s="8" t="s">
        <v>43</v>
      </c>
      <c r="C4" s="8" t="s">
        <v>44</v>
      </c>
      <c r="D4" s="8" t="s">
        <v>45</v>
      </c>
      <c r="E4" s="8" t="s">
        <v>47</v>
      </c>
    </row>
    <row r="5" customFormat="false" ht="15" hidden="false" customHeight="false" outlineLevel="0" collapsed="false">
      <c r="A5" s="9" t="s">
        <v>129</v>
      </c>
      <c r="B5" s="9" t="s">
        <v>48</v>
      </c>
      <c r="C5" s="9" t="n">
        <v>44</v>
      </c>
      <c r="D5" s="9" t="n">
        <v>12</v>
      </c>
      <c r="E5" s="9" t="n">
        <v>27.27</v>
      </c>
    </row>
    <row r="6" customFormat="false" ht="15" hidden="false" customHeight="false" outlineLevel="0" collapsed="false">
      <c r="A6" s="10" t="s">
        <v>129</v>
      </c>
      <c r="B6" s="10" t="s">
        <v>49</v>
      </c>
      <c r="C6" s="10" t="n">
        <v>255</v>
      </c>
      <c r="D6" s="10" t="n">
        <v>124</v>
      </c>
      <c r="E6" s="10" t="n">
        <v>48.63</v>
      </c>
    </row>
    <row r="7" customFormat="false" ht="15" hidden="false" customHeight="false" outlineLevel="0" collapsed="false">
      <c r="A7" s="9" t="s">
        <v>129</v>
      </c>
      <c r="B7" s="9" t="s">
        <v>50</v>
      </c>
      <c r="C7" s="9" t="n">
        <v>763</v>
      </c>
      <c r="D7" s="9" t="n">
        <v>361</v>
      </c>
      <c r="E7" s="9" t="n">
        <v>47.31</v>
      </c>
    </row>
    <row r="8" customFormat="false" ht="15" hidden="false" customHeight="false" outlineLevel="0" collapsed="false">
      <c r="A8" s="10" t="s">
        <v>129</v>
      </c>
      <c r="B8" s="10" t="s">
        <v>51</v>
      </c>
      <c r="C8" s="10" t="n">
        <v>1378</v>
      </c>
      <c r="D8" s="10" t="n">
        <v>547</v>
      </c>
      <c r="E8" s="10" t="n">
        <v>39.7</v>
      </c>
    </row>
    <row r="9" customFormat="false" ht="15" hidden="false" customHeight="false" outlineLevel="0" collapsed="false">
      <c r="A9" s="9" t="s">
        <v>129</v>
      </c>
      <c r="B9" s="9" t="s">
        <v>52</v>
      </c>
      <c r="C9" s="9" t="n">
        <v>3225</v>
      </c>
      <c r="D9" s="9" t="n">
        <v>1495</v>
      </c>
      <c r="E9" s="9" t="n">
        <v>46.36</v>
      </c>
    </row>
    <row r="10" customFormat="false" ht="15" hidden="false" customHeight="false" outlineLevel="0" collapsed="false">
      <c r="A10" s="10" t="s">
        <v>129</v>
      </c>
      <c r="B10" s="10" t="s">
        <v>53</v>
      </c>
      <c r="C10" s="10" t="n">
        <v>5681</v>
      </c>
      <c r="D10" s="10" t="n">
        <v>2662</v>
      </c>
      <c r="E10" s="10" t="n">
        <v>46.86</v>
      </c>
    </row>
    <row r="11" customFormat="false" ht="15" hidden="false" customHeight="false" outlineLevel="0" collapsed="false">
      <c r="A11" s="9" t="s">
        <v>129</v>
      </c>
      <c r="B11" s="9" t="s">
        <v>54</v>
      </c>
      <c r="C11" s="9" t="n">
        <v>7341</v>
      </c>
      <c r="D11" s="9" t="n">
        <v>3432</v>
      </c>
      <c r="E11" s="9" t="n">
        <v>46.75</v>
      </c>
    </row>
    <row r="12" customFormat="false" ht="15" hidden="false" customHeight="false" outlineLevel="0" collapsed="false">
      <c r="A12" s="10" t="s">
        <v>129</v>
      </c>
      <c r="B12" s="10" t="s">
        <v>55</v>
      </c>
      <c r="C12" s="10" t="n">
        <v>9137</v>
      </c>
      <c r="D12" s="10" t="n">
        <v>4382</v>
      </c>
      <c r="E12" s="10" t="n">
        <v>47.96</v>
      </c>
    </row>
    <row r="13" customFormat="false" ht="15" hidden="false" customHeight="false" outlineLevel="0" collapsed="false">
      <c r="A13" s="9" t="s">
        <v>129</v>
      </c>
      <c r="B13" s="9" t="s">
        <v>56</v>
      </c>
      <c r="C13" s="9" t="n">
        <v>6806</v>
      </c>
      <c r="D13" s="9" t="n">
        <v>3312</v>
      </c>
      <c r="E13" s="9" t="n">
        <v>48.66</v>
      </c>
    </row>
    <row r="14" customFormat="false" ht="15" hidden="false" customHeight="false" outlineLevel="0" collapsed="false">
      <c r="A14" s="10" t="s">
        <v>129</v>
      </c>
      <c r="B14" s="10" t="s">
        <v>57</v>
      </c>
      <c r="C14" s="10" t="n">
        <v>1343</v>
      </c>
      <c r="D14" s="10" t="n">
        <v>527</v>
      </c>
      <c r="E14" s="10" t="n">
        <v>39.24</v>
      </c>
    </row>
    <row r="15" customFormat="false" ht="15" hidden="false" customHeight="false" outlineLevel="0" collapsed="false">
      <c r="A15" s="9" t="s">
        <v>130</v>
      </c>
      <c r="B15" s="9" t="s">
        <v>48</v>
      </c>
      <c r="C15" s="9" t="n">
        <v>56</v>
      </c>
      <c r="D15" s="9" t="n">
        <v>10</v>
      </c>
      <c r="E15" s="9" t="n">
        <v>17.86</v>
      </c>
    </row>
    <row r="16" customFormat="false" ht="15" hidden="false" customHeight="false" outlineLevel="0" collapsed="false">
      <c r="A16" s="10" t="s">
        <v>130</v>
      </c>
      <c r="B16" s="10" t="s">
        <v>49</v>
      </c>
      <c r="C16" s="10" t="n">
        <v>173</v>
      </c>
      <c r="D16" s="10" t="n">
        <v>54</v>
      </c>
      <c r="E16" s="10" t="n">
        <v>31.21</v>
      </c>
    </row>
    <row r="17" customFormat="false" ht="15" hidden="false" customHeight="false" outlineLevel="0" collapsed="false">
      <c r="A17" s="9" t="s">
        <v>130</v>
      </c>
      <c r="B17" s="9" t="s">
        <v>50</v>
      </c>
      <c r="C17" s="9" t="n">
        <v>391</v>
      </c>
      <c r="D17" s="9" t="n">
        <v>159</v>
      </c>
      <c r="E17" s="9" t="n">
        <v>40.66</v>
      </c>
    </row>
    <row r="18" customFormat="false" ht="15" hidden="false" customHeight="false" outlineLevel="0" collapsed="false">
      <c r="A18" s="10" t="s">
        <v>130</v>
      </c>
      <c r="B18" s="10" t="s">
        <v>51</v>
      </c>
      <c r="C18" s="10" t="n">
        <v>1036</v>
      </c>
      <c r="D18" s="10" t="n">
        <v>469</v>
      </c>
      <c r="E18" s="10" t="n">
        <v>45.27</v>
      </c>
    </row>
    <row r="19" customFormat="false" ht="15" hidden="false" customHeight="false" outlineLevel="0" collapsed="false">
      <c r="A19" s="9" t="s">
        <v>130</v>
      </c>
      <c r="B19" s="9" t="s">
        <v>52</v>
      </c>
      <c r="C19" s="9" t="n">
        <v>3099</v>
      </c>
      <c r="D19" s="9" t="n">
        <v>1319</v>
      </c>
      <c r="E19" s="9" t="n">
        <v>42.56</v>
      </c>
    </row>
    <row r="20" customFormat="false" ht="15" hidden="false" customHeight="false" outlineLevel="0" collapsed="false">
      <c r="A20" s="10" t="s">
        <v>130</v>
      </c>
      <c r="B20" s="10" t="s">
        <v>53</v>
      </c>
      <c r="C20" s="10" t="n">
        <v>5697</v>
      </c>
      <c r="D20" s="10" t="n">
        <v>2467</v>
      </c>
      <c r="E20" s="10" t="n">
        <v>43.3</v>
      </c>
    </row>
    <row r="21" customFormat="false" ht="15" hidden="false" customHeight="false" outlineLevel="0" collapsed="false">
      <c r="A21" s="9" t="s">
        <v>130</v>
      </c>
      <c r="B21" s="9" t="s">
        <v>54</v>
      </c>
      <c r="C21" s="9" t="n">
        <v>7503</v>
      </c>
      <c r="D21" s="9" t="n">
        <v>3428</v>
      </c>
      <c r="E21" s="9" t="n">
        <v>45.69</v>
      </c>
    </row>
    <row r="22" customFormat="false" ht="15" hidden="false" customHeight="false" outlineLevel="0" collapsed="false">
      <c r="A22" s="10" t="s">
        <v>130</v>
      </c>
      <c r="B22" s="10" t="s">
        <v>55</v>
      </c>
      <c r="C22" s="10" t="n">
        <v>7893</v>
      </c>
      <c r="D22" s="10" t="n">
        <v>3797</v>
      </c>
      <c r="E22" s="10" t="n">
        <v>48.11</v>
      </c>
    </row>
    <row r="23" customFormat="false" ht="15" hidden="false" customHeight="false" outlineLevel="0" collapsed="false">
      <c r="A23" s="9" t="s">
        <v>130</v>
      </c>
      <c r="B23" s="9" t="s">
        <v>56</v>
      </c>
      <c r="C23" s="9" t="n">
        <v>4274</v>
      </c>
      <c r="D23" s="9" t="n">
        <v>2037</v>
      </c>
      <c r="E23" s="9" t="n">
        <v>47.66</v>
      </c>
    </row>
    <row r="24" customFormat="false" ht="15" hidden="false" customHeight="false" outlineLevel="0" collapsed="false">
      <c r="A24" s="10" t="s">
        <v>130</v>
      </c>
      <c r="B24" s="10" t="s">
        <v>57</v>
      </c>
      <c r="C24" s="10" t="n">
        <v>490</v>
      </c>
      <c r="D24" s="10" t="n">
        <v>170</v>
      </c>
      <c r="E24" s="10" t="n">
        <v>34.69</v>
      </c>
    </row>
    <row r="25" customFormat="false" ht="15" hidden="false" customHeight="false" outlineLevel="0" collapsed="false">
      <c r="A25" s="9" t="s">
        <v>131</v>
      </c>
      <c r="B25" s="9" t="s">
        <v>54</v>
      </c>
      <c r="C25" s="9" t="n">
        <v>1</v>
      </c>
      <c r="D25" s="9" t="n">
        <v>0</v>
      </c>
      <c r="E25" s="9" t="n">
        <v>0</v>
      </c>
    </row>
    <row r="26" customFormat="false" ht="15" hidden="false" customHeight="false" outlineLevel="0" collapsed="false">
      <c r="A26" s="10" t="s">
        <v>131</v>
      </c>
      <c r="B26" s="10" t="s">
        <v>55</v>
      </c>
      <c r="C26" s="10" t="n">
        <v>1</v>
      </c>
      <c r="D26" s="10" t="n">
        <v>0</v>
      </c>
      <c r="E26" s="10" t="n">
        <v>0</v>
      </c>
    </row>
    <row r="28" customFormat="false" ht="23.85" hidden="false" customHeight="true" outlineLevel="0" collapsed="false">
      <c r="A28" s="12" t="s">
        <v>237</v>
      </c>
      <c r="B28" s="12"/>
      <c r="C28" s="12"/>
      <c r="D28" s="12"/>
      <c r="E28" s="12"/>
    </row>
    <row r="29" customFormat="false" ht="23.85" hidden="false" customHeight="true" outlineLevel="0" collapsed="false">
      <c r="A29" s="12" t="s">
        <v>238</v>
      </c>
      <c r="B29" s="12"/>
      <c r="C29" s="12"/>
      <c r="D29" s="12"/>
      <c r="E29" s="12"/>
    </row>
  </sheetData>
  <mergeCells count="4">
    <mergeCell ref="A1:E1"/>
    <mergeCell ref="A2:E2"/>
    <mergeCell ref="A28:E28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30"/>
  </cols>
  <sheetData>
    <row r="1" customFormat="false" ht="30" hidden="false" customHeight="true" outlineLevel="0" collapsed="false">
      <c r="A1" s="6" t="s">
        <v>239</v>
      </c>
      <c r="B1" s="6"/>
      <c r="C1" s="6"/>
      <c r="D1" s="6"/>
    </row>
    <row r="2" customFormat="false" ht="18" hidden="false" customHeight="true" outlineLevel="0" collapsed="false">
      <c r="A2" s="7" t="s">
        <v>240</v>
      </c>
      <c r="B2" s="7"/>
      <c r="C2" s="7"/>
      <c r="D2" s="7"/>
    </row>
    <row r="3" customFormat="false" ht="15" hidden="false" customHeight="false" outlineLevel="0" collapsed="false">
      <c r="A3" s="13" t="s">
        <v>241</v>
      </c>
      <c r="B3" s="13"/>
      <c r="C3" s="13"/>
      <c r="D3" s="13"/>
    </row>
    <row r="4" customFormat="false" ht="15" hidden="false" customHeight="false" outlineLevel="0" collapsed="false">
      <c r="A4" s="8" t="s">
        <v>242</v>
      </c>
      <c r="B4" s="8" t="s">
        <v>243</v>
      </c>
      <c r="C4" s="8" t="s">
        <v>244</v>
      </c>
    </row>
    <row r="5" customFormat="false" ht="15" hidden="false" customHeight="false" outlineLevel="0" collapsed="false">
      <c r="A5" s="9" t="s">
        <v>245</v>
      </c>
      <c r="B5" s="9" t="n">
        <v>0.3703</v>
      </c>
      <c r="C5" s="9" t="s">
        <v>246</v>
      </c>
    </row>
    <row r="6" customFormat="false" ht="15" hidden="false" customHeight="false" outlineLevel="0" collapsed="false">
      <c r="A6" s="10" t="s">
        <v>247</v>
      </c>
      <c r="B6" s="10" t="n">
        <v>0.2193</v>
      </c>
      <c r="C6" s="10" t="s">
        <v>246</v>
      </c>
    </row>
    <row r="7" customFormat="false" ht="15" hidden="false" customHeight="false" outlineLevel="0" collapsed="false">
      <c r="A7" s="9" t="s">
        <v>248</v>
      </c>
      <c r="B7" s="9" t="n">
        <v>0.0828</v>
      </c>
      <c r="C7" s="9" t="s">
        <v>246</v>
      </c>
    </row>
    <row r="8" customFormat="false" ht="15" hidden="false" customHeight="false" outlineLevel="0" collapsed="false">
      <c r="A8" s="10" t="s">
        <v>182</v>
      </c>
      <c r="B8" s="10" t="n">
        <v>0.076</v>
      </c>
      <c r="C8" s="10" t="s">
        <v>246</v>
      </c>
    </row>
    <row r="9" customFormat="false" ht="15" hidden="false" customHeight="false" outlineLevel="0" collapsed="false">
      <c r="A9" s="9" t="s">
        <v>249</v>
      </c>
      <c r="B9" s="9" t="n">
        <v>0.0135</v>
      </c>
      <c r="C9" s="9" t="s">
        <v>246</v>
      </c>
    </row>
    <row r="10" customFormat="false" ht="15" hidden="false" customHeight="false" outlineLevel="0" collapsed="false">
      <c r="A10" s="10" t="s">
        <v>250</v>
      </c>
      <c r="B10" s="10" t="n">
        <v>0.0059</v>
      </c>
      <c r="C10" s="10" t="s">
        <v>246</v>
      </c>
    </row>
    <row r="11" customFormat="false" ht="15" hidden="false" customHeight="false" outlineLevel="0" collapsed="false">
      <c r="A11" s="9" t="s">
        <v>251</v>
      </c>
      <c r="B11" s="9" t="n">
        <v>0.0011</v>
      </c>
      <c r="C11" s="9" t="s">
        <v>246</v>
      </c>
    </row>
    <row r="12" customFormat="false" ht="15" hidden="false" customHeight="false" outlineLevel="0" collapsed="false">
      <c r="A12" s="10" t="s">
        <v>252</v>
      </c>
      <c r="B12" s="10" t="n">
        <v>-0.0515</v>
      </c>
      <c r="C12" s="10" t="s">
        <v>253</v>
      </c>
    </row>
    <row r="14" customFormat="false" ht="23.85" hidden="false" customHeight="true" outlineLevel="0" collapsed="false">
      <c r="A14" s="12" t="s">
        <v>254</v>
      </c>
      <c r="B14" s="12"/>
      <c r="C14" s="12"/>
      <c r="D14" s="12"/>
    </row>
    <row r="15" customFormat="false" ht="23.85" hidden="false" customHeight="true" outlineLevel="0" collapsed="false">
      <c r="A15" s="12" t="s">
        <v>255</v>
      </c>
      <c r="B15" s="12"/>
      <c r="C15" s="12"/>
      <c r="D15" s="12"/>
    </row>
    <row r="16" customFormat="false" ht="23.85" hidden="false" customHeight="true" outlineLevel="0" collapsed="false">
      <c r="A16" s="14" t="s">
        <v>256</v>
      </c>
      <c r="B16" s="14"/>
      <c r="C16" s="14"/>
      <c r="D16" s="14"/>
    </row>
  </sheetData>
  <mergeCells count="6">
    <mergeCell ref="A1:D1"/>
    <mergeCell ref="A2:D2"/>
    <mergeCell ref="A3:D3"/>
    <mergeCell ref="A14:D14"/>
    <mergeCell ref="A15:D15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7" min="4" style="0" width="20"/>
    <col collapsed="false" customWidth="true" hidden="false" outlineLevel="0" max="8" min="8" style="0" width="22"/>
  </cols>
  <sheetData>
    <row r="1" customFormat="false" ht="30" hidden="false" customHeight="true" outlineLevel="0" collapsed="false">
      <c r="A1" s="6" t="s">
        <v>257</v>
      </c>
      <c r="B1" s="6"/>
      <c r="C1" s="6"/>
      <c r="D1" s="6"/>
      <c r="E1" s="6"/>
      <c r="F1" s="6"/>
      <c r="G1" s="6"/>
      <c r="H1" s="6"/>
    </row>
    <row r="2" customFormat="false" ht="18" hidden="false" customHeight="true" outlineLevel="0" collapsed="false">
      <c r="A2" s="7" t="s">
        <v>258</v>
      </c>
      <c r="B2" s="7"/>
      <c r="C2" s="7"/>
      <c r="D2" s="7"/>
      <c r="E2" s="7"/>
      <c r="F2" s="7"/>
      <c r="G2" s="7"/>
      <c r="H2" s="7"/>
    </row>
    <row r="4" customFormat="false" ht="26.85" hidden="false" customHeight="false" outlineLevel="0" collapsed="false">
      <c r="A4" s="8" t="s">
        <v>259</v>
      </c>
      <c r="B4" s="8" t="s">
        <v>142</v>
      </c>
      <c r="C4" s="8" t="s">
        <v>183</v>
      </c>
      <c r="D4" s="8" t="s">
        <v>223</v>
      </c>
      <c r="E4" s="8" t="s">
        <v>198</v>
      </c>
      <c r="F4" s="8" t="s">
        <v>260</v>
      </c>
      <c r="G4" s="8" t="s">
        <v>47</v>
      </c>
      <c r="H4" s="8" t="s">
        <v>261</v>
      </c>
    </row>
    <row r="5" customFormat="false" ht="15" hidden="false" customHeight="false" outlineLevel="0" collapsed="false">
      <c r="A5" s="9" t="n">
        <v>0</v>
      </c>
      <c r="B5" s="9" t="n">
        <v>14426</v>
      </c>
      <c r="C5" s="9" t="n">
        <v>8.5</v>
      </c>
      <c r="D5" s="9" t="n">
        <v>25.27</v>
      </c>
      <c r="E5" s="9" t="n">
        <v>0.11</v>
      </c>
      <c r="F5" s="9" t="n">
        <v>8.28</v>
      </c>
      <c r="G5" s="9" t="n">
        <v>49.08</v>
      </c>
      <c r="H5" s="9" t="s">
        <v>262</v>
      </c>
    </row>
    <row r="6" customFormat="false" ht="15" hidden="false" customHeight="false" outlineLevel="0" collapsed="false">
      <c r="A6" s="10" t="n">
        <v>1</v>
      </c>
      <c r="B6" s="10" t="n">
        <v>18002</v>
      </c>
      <c r="C6" s="10" t="n">
        <v>3.05</v>
      </c>
      <c r="D6" s="10" t="n">
        <v>12.04</v>
      </c>
      <c r="E6" s="10" t="n">
        <v>0.08</v>
      </c>
      <c r="F6" s="10" t="n">
        <v>4.78</v>
      </c>
      <c r="G6" s="10" t="n">
        <v>37.13</v>
      </c>
      <c r="H6" s="10" t="s">
        <v>263</v>
      </c>
    </row>
    <row r="7" customFormat="false" ht="15" hidden="false" customHeight="false" outlineLevel="0" collapsed="false">
      <c r="A7" s="9" t="n">
        <v>2</v>
      </c>
      <c r="B7" s="9" t="n">
        <v>30809</v>
      </c>
      <c r="C7" s="9" t="n">
        <v>3.27</v>
      </c>
      <c r="D7" s="9" t="n">
        <v>13.95</v>
      </c>
      <c r="E7" s="9" t="n">
        <v>0.12</v>
      </c>
      <c r="F7" s="9" t="n">
        <v>8.51</v>
      </c>
      <c r="G7" s="9" t="n">
        <v>46.68</v>
      </c>
      <c r="H7" s="9" t="s">
        <v>264</v>
      </c>
    </row>
    <row r="8" customFormat="false" ht="15" hidden="false" customHeight="false" outlineLevel="0" collapsed="false">
      <c r="A8" s="10" t="n">
        <v>3</v>
      </c>
      <c r="B8" s="10" t="n">
        <v>3350</v>
      </c>
      <c r="C8" s="10" t="n">
        <v>4.37</v>
      </c>
      <c r="D8" s="10" t="n">
        <v>16.75</v>
      </c>
      <c r="E8" s="10" t="n">
        <v>2.01</v>
      </c>
      <c r="F8" s="10" t="n">
        <v>8</v>
      </c>
      <c r="G8" s="10" t="n">
        <v>78.12</v>
      </c>
      <c r="H8" s="10" t="s">
        <v>265</v>
      </c>
    </row>
    <row r="10" customFormat="false" ht="15" hidden="false" customHeight="true" outlineLevel="0" collapsed="false">
      <c r="A10" s="12" t="s">
        <v>266</v>
      </c>
      <c r="B10" s="12"/>
      <c r="C10" s="12"/>
      <c r="D10" s="12"/>
      <c r="E10" s="12"/>
      <c r="F10" s="12"/>
      <c r="G10" s="12"/>
      <c r="H10" s="12"/>
    </row>
    <row r="11" customFormat="false" ht="15" hidden="false" customHeight="true" outlineLevel="0" collapsed="false">
      <c r="A11" s="12" t="s">
        <v>267</v>
      </c>
      <c r="B11" s="12"/>
      <c r="C11" s="12"/>
      <c r="D11" s="12"/>
      <c r="E11" s="12"/>
      <c r="F11" s="12"/>
      <c r="G11" s="12"/>
      <c r="H11" s="12"/>
    </row>
    <row r="12" customFormat="false" ht="15" hidden="false" customHeight="true" outlineLevel="0" collapsed="false">
      <c r="A12" s="14" t="s">
        <v>268</v>
      </c>
      <c r="B12" s="14"/>
      <c r="C12" s="14"/>
      <c r="D12" s="14"/>
      <c r="E12" s="14"/>
      <c r="F12" s="14"/>
      <c r="G12" s="14"/>
      <c r="H12" s="14"/>
    </row>
  </sheetData>
  <mergeCells count="5">
    <mergeCell ref="A1:H1"/>
    <mergeCell ref="A2:H2"/>
    <mergeCell ref="A10:H10"/>
    <mergeCell ref="A11:H11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22"/>
  </cols>
  <sheetData>
    <row r="1" customFormat="false" ht="30" hidden="false" customHeight="true" outlineLevel="0" collapsed="false">
      <c r="A1" s="6" t="s">
        <v>269</v>
      </c>
      <c r="B1" s="6"/>
      <c r="C1" s="6"/>
      <c r="D1" s="6"/>
      <c r="E1" s="6"/>
      <c r="F1" s="6"/>
      <c r="G1" s="6"/>
    </row>
    <row r="2" customFormat="false" ht="18" hidden="false" customHeight="true" outlineLevel="0" collapsed="false">
      <c r="A2" s="7" t="s">
        <v>270</v>
      </c>
      <c r="B2" s="7"/>
      <c r="C2" s="7"/>
      <c r="D2" s="7"/>
      <c r="E2" s="7"/>
      <c r="F2" s="7"/>
      <c r="G2" s="7"/>
    </row>
    <row r="4" customFormat="false" ht="26.85" hidden="false" customHeight="false" outlineLevel="0" collapsed="false">
      <c r="A4" s="8" t="s">
        <v>126</v>
      </c>
      <c r="B4" s="8" t="s">
        <v>44</v>
      </c>
      <c r="C4" s="8" t="s">
        <v>45</v>
      </c>
      <c r="D4" s="8" t="s">
        <v>223</v>
      </c>
      <c r="E4" s="8" t="s">
        <v>188</v>
      </c>
      <c r="F4" s="8" t="s">
        <v>183</v>
      </c>
      <c r="G4" s="8" t="s">
        <v>47</v>
      </c>
    </row>
    <row r="5" customFormat="false" ht="15" hidden="false" customHeight="false" outlineLevel="0" collapsed="false">
      <c r="A5" s="9" t="s">
        <v>128</v>
      </c>
      <c r="B5" s="9" t="n">
        <v>1504</v>
      </c>
      <c r="C5" s="9" t="n">
        <v>467</v>
      </c>
      <c r="D5" s="9" t="n">
        <v>16.05</v>
      </c>
      <c r="E5" s="9" t="n">
        <v>44.52</v>
      </c>
      <c r="F5" s="9" t="n">
        <v>4.43</v>
      </c>
      <c r="G5" s="9" t="n">
        <v>31.05</v>
      </c>
    </row>
    <row r="6" customFormat="false" ht="15" hidden="false" customHeight="false" outlineLevel="0" collapsed="false">
      <c r="A6" s="10" t="s">
        <v>132</v>
      </c>
      <c r="B6" s="10" t="n">
        <v>12406</v>
      </c>
      <c r="C6" s="10" t="n">
        <v>5703</v>
      </c>
      <c r="D6" s="10" t="n">
        <v>15.39</v>
      </c>
      <c r="E6" s="10" t="n">
        <v>44.11</v>
      </c>
      <c r="F6" s="10" t="n">
        <v>4.5</v>
      </c>
      <c r="G6" s="10" t="n">
        <v>45.97</v>
      </c>
    </row>
    <row r="7" customFormat="false" ht="15" hidden="false" customHeight="false" outlineLevel="0" collapsed="false">
      <c r="A7" s="9" t="s">
        <v>133</v>
      </c>
      <c r="B7" s="9" t="n">
        <v>408</v>
      </c>
      <c r="C7" s="9" t="n">
        <v>160</v>
      </c>
      <c r="D7" s="9" t="n">
        <v>13.18</v>
      </c>
      <c r="E7" s="9" t="n">
        <v>41.37</v>
      </c>
      <c r="F7" s="9" t="n">
        <v>3.92</v>
      </c>
      <c r="G7" s="9" t="n">
        <v>39.22</v>
      </c>
    </row>
    <row r="8" customFormat="false" ht="15" hidden="false" customHeight="false" outlineLevel="0" collapsed="false">
      <c r="A8" s="10" t="s">
        <v>134</v>
      </c>
      <c r="B8" s="10" t="n">
        <v>49906</v>
      </c>
      <c r="C8" s="10" t="n">
        <v>23477</v>
      </c>
      <c r="D8" s="10" t="n">
        <v>16.28</v>
      </c>
      <c r="E8" s="10" t="n">
        <v>42.86</v>
      </c>
      <c r="F8" s="10" t="n">
        <v>4.39</v>
      </c>
      <c r="G8" s="10" t="n">
        <v>47.04</v>
      </c>
    </row>
    <row r="9" customFormat="false" ht="15" hidden="false" customHeight="false" outlineLevel="0" collapsed="false">
      <c r="A9" s="9" t="s">
        <v>135</v>
      </c>
      <c r="B9" s="9" t="n">
        <v>1313</v>
      </c>
      <c r="C9" s="9" t="n">
        <v>535</v>
      </c>
      <c r="D9" s="9" t="n">
        <v>14.05</v>
      </c>
      <c r="E9" s="9" t="n">
        <v>41.73</v>
      </c>
      <c r="F9" s="9" t="n">
        <v>3.97</v>
      </c>
      <c r="G9" s="9" t="n">
        <v>40.75</v>
      </c>
    </row>
    <row r="10" customFormat="false" ht="15" hidden="false" customHeight="false" outlineLevel="0" collapsed="false">
      <c r="A10" s="10" t="s">
        <v>136</v>
      </c>
      <c r="B10" s="10" t="n">
        <v>1050</v>
      </c>
      <c r="C10" s="10" t="n">
        <v>422</v>
      </c>
      <c r="D10" s="10" t="n">
        <v>15.32</v>
      </c>
      <c r="E10" s="10" t="n">
        <v>43.83</v>
      </c>
      <c r="F10" s="10" t="n">
        <v>4.39</v>
      </c>
      <c r="G10" s="10" t="n">
        <v>40.19</v>
      </c>
    </row>
    <row r="12" customFormat="false" ht="23.85" hidden="false" customHeight="true" outlineLevel="0" collapsed="false">
      <c r="A12" s="12" t="s">
        <v>271</v>
      </c>
      <c r="B12" s="12"/>
      <c r="C12" s="12"/>
      <c r="D12" s="12"/>
      <c r="E12" s="12"/>
      <c r="F12" s="12"/>
      <c r="G12" s="12"/>
    </row>
    <row r="13" customFormat="false" ht="23.85" hidden="false" customHeight="true" outlineLevel="0" collapsed="false">
      <c r="A13" s="12" t="s">
        <v>272</v>
      </c>
      <c r="B13" s="12"/>
      <c r="C13" s="12"/>
      <c r="D13" s="12"/>
      <c r="E13" s="12"/>
      <c r="F13" s="12"/>
      <c r="G13" s="12"/>
    </row>
    <row r="14" customFormat="false" ht="15" hidden="false" customHeight="true" outlineLevel="0" collapsed="false">
      <c r="A14" s="14" t="s">
        <v>273</v>
      </c>
      <c r="B14" s="14"/>
      <c r="C14" s="14"/>
      <c r="D14" s="14"/>
      <c r="E14" s="14"/>
      <c r="F14" s="14"/>
      <c r="G14" s="14"/>
    </row>
  </sheetData>
  <mergeCells count="5">
    <mergeCell ref="A1:G1"/>
    <mergeCell ref="A2:G2"/>
    <mergeCell ref="A12:G12"/>
    <mergeCell ref="A13:G1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2026-05-17T06:53:07Z</dcterms:created>
  <dc:creator>openpyxl</dc:creator>
  <dc:description/>
  <dc:language>en-US</dc:language>
  <cp:lastModifiedBy/>
  <dcterms:modified xsi:type="dcterms:W3CDTF">2026-05-17T06:53:12Z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